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ecnicos\Gonzalo\OBRAS CF\AÑO 2025\2025 OBRAS PRESUPUESTADAS-ESTUDIO\REF REFORMA Y AMPLIACION - CARAMBOLO - CHIVA\Ofertas Estudios\_ENVIADAS\"/>
    </mc:Choice>
  </mc:AlternateContent>
  <xr:revisionPtr revIDLastSave="0" documentId="8_{10AFFE74-B321-4028-8A0E-3F12A68DAED4}" xr6:coauthVersionLast="47" xr6:coauthVersionMax="47" xr10:uidLastSave="{00000000-0000-0000-0000-000000000000}"/>
  <bookViews>
    <workbookView xWindow="28680" yWindow="-120" windowWidth="29040" windowHeight="15840" xr2:uid="{00000000-000D-0000-FFFF-FFFF00000000}"/>
  </bookViews>
  <sheets>
    <sheet name="Hoja 1" sheetId="1" r:id="rId1"/>
  </sheets>
  <definedNames>
    <definedName name="_xlnm._FilterDatabase" localSheetId="0" hidden="1">'Hoja 1'!$M$1:$AL$1102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18" i="1" l="1"/>
  <c r="J1018" i="1"/>
  <c r="K1015" i="1"/>
  <c r="J1015" i="1"/>
  <c r="K1012" i="1"/>
  <c r="J1012" i="1"/>
  <c r="K1010" i="1"/>
  <c r="L1010" i="1" s="1"/>
  <c r="J1010" i="1"/>
  <c r="K1007" i="1"/>
  <c r="J1007" i="1"/>
  <c r="I1005" i="1"/>
  <c r="J1005" i="1" s="1"/>
  <c r="J1002" i="1" s="1"/>
  <c r="K1002" i="1"/>
  <c r="I1000" i="1"/>
  <c r="J1000" i="1" s="1"/>
  <c r="J997" i="1" s="1"/>
  <c r="K997" i="1"/>
  <c r="I995" i="1"/>
  <c r="I994" i="1"/>
  <c r="I993" i="1"/>
  <c r="I992" i="1"/>
  <c r="I991" i="1"/>
  <c r="I990" i="1"/>
  <c r="I989" i="1"/>
  <c r="I988" i="1"/>
  <c r="I987" i="1"/>
  <c r="I986" i="1"/>
  <c r="I985" i="1"/>
  <c r="I984" i="1"/>
  <c r="I983" i="1"/>
  <c r="I982" i="1"/>
  <c r="I981" i="1"/>
  <c r="I980" i="1"/>
  <c r="K977" i="1"/>
  <c r="I976" i="1"/>
  <c r="I975" i="1"/>
  <c r="I974" i="1"/>
  <c r="I973" i="1"/>
  <c r="I972" i="1"/>
  <c r="I971" i="1"/>
  <c r="I970" i="1"/>
  <c r="I969" i="1"/>
  <c r="I968" i="1"/>
  <c r="I967" i="1"/>
  <c r="I966" i="1"/>
  <c r="I965" i="1"/>
  <c r="I964" i="1"/>
  <c r="I963" i="1"/>
  <c r="I962" i="1"/>
  <c r="I961" i="1"/>
  <c r="K958" i="1"/>
  <c r="I957" i="1"/>
  <c r="I956" i="1"/>
  <c r="I955" i="1"/>
  <c r="I954" i="1"/>
  <c r="I953" i="1"/>
  <c r="K950" i="1"/>
  <c r="I949" i="1"/>
  <c r="I948" i="1"/>
  <c r="K945" i="1"/>
  <c r="I944" i="1"/>
  <c r="I943" i="1"/>
  <c r="K940" i="1"/>
  <c r="I939" i="1"/>
  <c r="J939" i="1" s="1"/>
  <c r="J936" i="1" s="1"/>
  <c r="K936" i="1"/>
  <c r="I935" i="1"/>
  <c r="J935" i="1" s="1"/>
  <c r="J931" i="1" s="1"/>
  <c r="K931" i="1"/>
  <c r="I930" i="1"/>
  <c r="J930" i="1" s="1"/>
  <c r="J926" i="1" s="1"/>
  <c r="K926" i="1"/>
  <c r="K923" i="1"/>
  <c r="J923" i="1"/>
  <c r="K921" i="1"/>
  <c r="J921" i="1"/>
  <c r="K919" i="1"/>
  <c r="J919" i="1"/>
  <c r="K917" i="1"/>
  <c r="J917" i="1"/>
  <c r="K913" i="1"/>
  <c r="J913" i="1"/>
  <c r="K910" i="1"/>
  <c r="J910" i="1"/>
  <c r="K908" i="1"/>
  <c r="J908" i="1"/>
  <c r="I907" i="1"/>
  <c r="J907" i="1" s="1"/>
  <c r="J904" i="1" s="1"/>
  <c r="K904" i="1"/>
  <c r="I903" i="1"/>
  <c r="I902" i="1"/>
  <c r="K899" i="1"/>
  <c r="K897" i="1"/>
  <c r="J897" i="1"/>
  <c r="K895" i="1"/>
  <c r="J895" i="1"/>
  <c r="K892" i="1"/>
  <c r="J892" i="1"/>
  <c r="K890" i="1"/>
  <c r="J890" i="1"/>
  <c r="K888" i="1"/>
  <c r="J888" i="1"/>
  <c r="K886" i="1"/>
  <c r="J886" i="1"/>
  <c r="K884" i="1"/>
  <c r="J884" i="1"/>
  <c r="K882" i="1"/>
  <c r="J882" i="1"/>
  <c r="K880" i="1"/>
  <c r="J880" i="1"/>
  <c r="K878" i="1"/>
  <c r="J878" i="1"/>
  <c r="K876" i="1"/>
  <c r="J876" i="1"/>
  <c r="I874" i="1"/>
  <c r="I873" i="1"/>
  <c r="I872" i="1"/>
  <c r="I871" i="1"/>
  <c r="I870" i="1"/>
  <c r="I869" i="1"/>
  <c r="K866" i="1"/>
  <c r="K863" i="1"/>
  <c r="J863" i="1"/>
  <c r="K861" i="1"/>
  <c r="J861" i="1"/>
  <c r="K859" i="1"/>
  <c r="J859" i="1"/>
  <c r="K857" i="1"/>
  <c r="J857" i="1"/>
  <c r="K855" i="1"/>
  <c r="J855" i="1"/>
  <c r="K853" i="1"/>
  <c r="J853" i="1"/>
  <c r="K851" i="1"/>
  <c r="J851" i="1"/>
  <c r="I848" i="1"/>
  <c r="I847" i="1"/>
  <c r="K844" i="1"/>
  <c r="I843" i="1"/>
  <c r="I842" i="1"/>
  <c r="K839" i="1"/>
  <c r="I837" i="1"/>
  <c r="I836" i="1"/>
  <c r="K833" i="1"/>
  <c r="I832" i="1"/>
  <c r="I831" i="1"/>
  <c r="K828" i="1"/>
  <c r="I827" i="1"/>
  <c r="I826" i="1"/>
  <c r="K823" i="1"/>
  <c r="I821" i="1"/>
  <c r="I820" i="1"/>
  <c r="I819" i="1"/>
  <c r="I818" i="1"/>
  <c r="I817" i="1"/>
  <c r="I815" i="1"/>
  <c r="I814" i="1"/>
  <c r="I813" i="1"/>
  <c r="I812" i="1"/>
  <c r="I811" i="1"/>
  <c r="I810" i="1"/>
  <c r="I809" i="1"/>
  <c r="I808" i="1"/>
  <c r="I807" i="1"/>
  <c r="K803" i="1"/>
  <c r="I802" i="1"/>
  <c r="I801" i="1"/>
  <c r="K798" i="1"/>
  <c r="I796" i="1"/>
  <c r="I795" i="1"/>
  <c r="I794" i="1"/>
  <c r="I793" i="1"/>
  <c r="I792" i="1"/>
  <c r="I790" i="1"/>
  <c r="I789" i="1"/>
  <c r="I788" i="1"/>
  <c r="I787" i="1"/>
  <c r="K783" i="1"/>
  <c r="I781" i="1"/>
  <c r="I780" i="1"/>
  <c r="I779" i="1"/>
  <c r="I778" i="1"/>
  <c r="K775" i="1"/>
  <c r="I774" i="1"/>
  <c r="I773" i="1"/>
  <c r="I772" i="1"/>
  <c r="I771" i="1"/>
  <c r="K768" i="1"/>
  <c r="K766" i="1"/>
  <c r="J766" i="1"/>
  <c r="I765" i="1"/>
  <c r="I764" i="1"/>
  <c r="I763" i="1"/>
  <c r="I762" i="1"/>
  <c r="I761" i="1"/>
  <c r="I760" i="1"/>
  <c r="I759" i="1"/>
  <c r="I758" i="1"/>
  <c r="K755" i="1"/>
  <c r="I753" i="1"/>
  <c r="I752" i="1"/>
  <c r="I751" i="1"/>
  <c r="K748" i="1"/>
  <c r="I746" i="1"/>
  <c r="I745" i="1"/>
  <c r="I743" i="1"/>
  <c r="I742" i="1"/>
  <c r="I741" i="1"/>
  <c r="I740" i="1"/>
  <c r="K736" i="1"/>
  <c r="I735" i="1"/>
  <c r="I734" i="1"/>
  <c r="I733" i="1"/>
  <c r="I732" i="1"/>
  <c r="K729" i="1"/>
  <c r="K726" i="1"/>
  <c r="J726" i="1"/>
  <c r="I724" i="1"/>
  <c r="I723" i="1"/>
  <c r="I721" i="1"/>
  <c r="I720" i="1"/>
  <c r="K715" i="1"/>
  <c r="K711" i="1"/>
  <c r="J711" i="1"/>
  <c r="I709" i="1"/>
  <c r="J709" i="1" s="1"/>
  <c r="J706" i="1" s="1"/>
  <c r="K706" i="1"/>
  <c r="I705" i="1"/>
  <c r="J705" i="1" s="1"/>
  <c r="J702" i="1" s="1"/>
  <c r="K702" i="1"/>
  <c r="I700" i="1"/>
  <c r="J700" i="1" s="1"/>
  <c r="J697" i="1" s="1"/>
  <c r="K697" i="1"/>
  <c r="I694" i="1"/>
  <c r="J694" i="1" s="1"/>
  <c r="J691" i="1" s="1"/>
  <c r="K691" i="1"/>
  <c r="I690" i="1"/>
  <c r="I689" i="1"/>
  <c r="I688" i="1"/>
  <c r="K685" i="1"/>
  <c r="K682" i="1"/>
  <c r="J682" i="1"/>
  <c r="K680" i="1"/>
  <c r="J680" i="1"/>
  <c r="I679" i="1"/>
  <c r="J679" i="1" s="1"/>
  <c r="J676" i="1" s="1"/>
  <c r="K676" i="1"/>
  <c r="I675" i="1"/>
  <c r="J675" i="1" s="1"/>
  <c r="J672" i="1" s="1"/>
  <c r="K672" i="1"/>
  <c r="K669" i="1"/>
  <c r="J669" i="1"/>
  <c r="K667" i="1"/>
  <c r="J667" i="1"/>
  <c r="I666" i="1"/>
  <c r="J666" i="1" s="1"/>
  <c r="J663" i="1" s="1"/>
  <c r="K663" i="1"/>
  <c r="K661" i="1"/>
  <c r="J661" i="1"/>
  <c r="K659" i="1"/>
  <c r="J659" i="1"/>
  <c r="K657" i="1"/>
  <c r="J657" i="1"/>
  <c r="K655" i="1"/>
  <c r="J655" i="1"/>
  <c r="K651" i="1"/>
  <c r="J651" i="1"/>
  <c r="K648" i="1"/>
  <c r="J648" i="1"/>
  <c r="K646" i="1"/>
  <c r="J646" i="1"/>
  <c r="K644" i="1"/>
  <c r="J644" i="1"/>
  <c r="K641" i="1"/>
  <c r="J641" i="1"/>
  <c r="K639" i="1"/>
  <c r="J639" i="1"/>
  <c r="K637" i="1"/>
  <c r="J637" i="1"/>
  <c r="K635" i="1"/>
  <c r="J635" i="1"/>
  <c r="K633" i="1"/>
  <c r="J633" i="1"/>
  <c r="K630" i="1"/>
  <c r="J630" i="1"/>
  <c r="K628" i="1"/>
  <c r="J628" i="1"/>
  <c r="K626" i="1"/>
  <c r="J626" i="1"/>
  <c r="K624" i="1"/>
  <c r="J624" i="1"/>
  <c r="K622" i="1"/>
  <c r="J622" i="1"/>
  <c r="K620" i="1"/>
  <c r="J620" i="1"/>
  <c r="K618" i="1"/>
  <c r="J618" i="1"/>
  <c r="K616" i="1"/>
  <c r="J616" i="1"/>
  <c r="K614" i="1"/>
  <c r="J614" i="1"/>
  <c r="K612" i="1"/>
  <c r="J612" i="1"/>
  <c r="K610" i="1"/>
  <c r="J610" i="1"/>
  <c r="K606" i="1"/>
  <c r="J606" i="1"/>
  <c r="K604" i="1"/>
  <c r="J604" i="1"/>
  <c r="K602" i="1"/>
  <c r="J602" i="1"/>
  <c r="I600" i="1"/>
  <c r="I599" i="1"/>
  <c r="I598" i="1"/>
  <c r="I597" i="1"/>
  <c r="I596" i="1"/>
  <c r="I595" i="1"/>
  <c r="I594" i="1"/>
  <c r="I593" i="1"/>
  <c r="I592" i="1"/>
  <c r="I590" i="1"/>
  <c r="I589" i="1"/>
  <c r="I588" i="1"/>
  <c r="I587" i="1"/>
  <c r="I586" i="1"/>
  <c r="K582" i="1"/>
  <c r="I581" i="1"/>
  <c r="J581" i="1" s="1"/>
  <c r="J577" i="1" s="1"/>
  <c r="K577" i="1"/>
  <c r="I575" i="1"/>
  <c r="I574" i="1"/>
  <c r="I572" i="1"/>
  <c r="K568" i="1"/>
  <c r="I567" i="1"/>
  <c r="I565" i="1"/>
  <c r="I564" i="1"/>
  <c r="I563" i="1"/>
  <c r="I562" i="1"/>
  <c r="K558" i="1"/>
  <c r="I557" i="1"/>
  <c r="I556" i="1"/>
  <c r="I555" i="1"/>
  <c r="I554" i="1"/>
  <c r="I553" i="1"/>
  <c r="I552" i="1"/>
  <c r="I550" i="1"/>
  <c r="I549" i="1"/>
  <c r="I548" i="1"/>
  <c r="K544" i="1"/>
  <c r="I543" i="1"/>
  <c r="I542" i="1"/>
  <c r="I541" i="1"/>
  <c r="I540" i="1"/>
  <c r="K537" i="1"/>
  <c r="K535" i="1"/>
  <c r="J535" i="1"/>
  <c r="I532" i="1"/>
  <c r="J532" i="1" s="1"/>
  <c r="J529" i="1" s="1"/>
  <c r="K529" i="1"/>
  <c r="I528" i="1"/>
  <c r="I527" i="1"/>
  <c r="I526" i="1"/>
  <c r="I525" i="1"/>
  <c r="K522" i="1"/>
  <c r="I520" i="1"/>
  <c r="I519" i="1"/>
  <c r="K516" i="1"/>
  <c r="I514" i="1"/>
  <c r="J514" i="1" s="1"/>
  <c r="J510" i="1" s="1"/>
  <c r="K510" i="1"/>
  <c r="I509" i="1"/>
  <c r="J509" i="1" s="1"/>
  <c r="J505" i="1" s="1"/>
  <c r="K505" i="1"/>
  <c r="I504" i="1"/>
  <c r="I503" i="1"/>
  <c r="I502" i="1"/>
  <c r="K498" i="1"/>
  <c r="I497" i="1"/>
  <c r="I496" i="1"/>
  <c r="I495" i="1"/>
  <c r="K491" i="1"/>
  <c r="I490" i="1"/>
  <c r="I489" i="1"/>
  <c r="I488" i="1"/>
  <c r="K484" i="1"/>
  <c r="K481" i="1"/>
  <c r="J481" i="1"/>
  <c r="K479" i="1"/>
  <c r="J479" i="1"/>
  <c r="I478" i="1"/>
  <c r="J478" i="1" s="1"/>
  <c r="J475" i="1" s="1"/>
  <c r="K475" i="1"/>
  <c r="I473" i="1"/>
  <c r="J473" i="1" s="1"/>
  <c r="J469" i="1" s="1"/>
  <c r="K469" i="1"/>
  <c r="I468" i="1"/>
  <c r="J468" i="1" s="1"/>
  <c r="J464" i="1" s="1"/>
  <c r="K464" i="1"/>
  <c r="I463" i="1"/>
  <c r="J463" i="1" s="1"/>
  <c r="J459" i="1" s="1"/>
  <c r="K459" i="1"/>
  <c r="I458" i="1"/>
  <c r="J458" i="1" s="1"/>
  <c r="J454" i="1" s="1"/>
  <c r="K454" i="1"/>
  <c r="I453" i="1"/>
  <c r="J453" i="1" s="1"/>
  <c r="J449" i="1" s="1"/>
  <c r="K449" i="1"/>
  <c r="I448" i="1"/>
  <c r="J448" i="1" s="1"/>
  <c r="J444" i="1" s="1"/>
  <c r="K444" i="1"/>
  <c r="I443" i="1"/>
  <c r="J443" i="1" s="1"/>
  <c r="J439" i="1" s="1"/>
  <c r="K439" i="1"/>
  <c r="I438" i="1"/>
  <c r="J438" i="1" s="1"/>
  <c r="J434" i="1" s="1"/>
  <c r="K434" i="1"/>
  <c r="I433" i="1"/>
  <c r="J433" i="1" s="1"/>
  <c r="J429" i="1" s="1"/>
  <c r="K429" i="1"/>
  <c r="I428" i="1"/>
  <c r="J428" i="1" s="1"/>
  <c r="J424" i="1" s="1"/>
  <c r="K424" i="1"/>
  <c r="I423" i="1"/>
  <c r="J423" i="1" s="1"/>
  <c r="J419" i="1" s="1"/>
  <c r="K419" i="1"/>
  <c r="I418" i="1"/>
  <c r="J418" i="1" s="1"/>
  <c r="J414" i="1" s="1"/>
  <c r="K414" i="1"/>
  <c r="I413" i="1"/>
  <c r="J413" i="1" s="1"/>
  <c r="J409" i="1" s="1"/>
  <c r="K409" i="1"/>
  <c r="I408" i="1"/>
  <c r="J408" i="1" s="1"/>
  <c r="J404" i="1" s="1"/>
  <c r="K404" i="1"/>
  <c r="I403" i="1"/>
  <c r="J403" i="1" s="1"/>
  <c r="J399" i="1" s="1"/>
  <c r="K399" i="1"/>
  <c r="I398" i="1"/>
  <c r="J398" i="1" s="1"/>
  <c r="J394" i="1" s="1"/>
  <c r="K394" i="1"/>
  <c r="I393" i="1"/>
  <c r="J393" i="1" s="1"/>
  <c r="J389" i="1" s="1"/>
  <c r="K389" i="1"/>
  <c r="I388" i="1"/>
  <c r="J388" i="1" s="1"/>
  <c r="J384" i="1" s="1"/>
  <c r="K384" i="1"/>
  <c r="I382" i="1"/>
  <c r="I381" i="1"/>
  <c r="I380" i="1"/>
  <c r="I379" i="1"/>
  <c r="I378" i="1"/>
  <c r="K375" i="1"/>
  <c r="I372" i="1"/>
  <c r="I371" i="1"/>
  <c r="K368" i="1"/>
  <c r="I366" i="1"/>
  <c r="I365" i="1"/>
  <c r="K362" i="1"/>
  <c r="I361" i="1"/>
  <c r="I360" i="1"/>
  <c r="I359" i="1"/>
  <c r="I358" i="1"/>
  <c r="K354" i="1"/>
  <c r="I352" i="1"/>
  <c r="I351" i="1"/>
  <c r="K347" i="1"/>
  <c r="I345" i="1"/>
  <c r="I344" i="1"/>
  <c r="I343" i="1"/>
  <c r="K340" i="1"/>
  <c r="I339" i="1"/>
  <c r="I338" i="1"/>
  <c r="I337" i="1"/>
  <c r="I336" i="1"/>
  <c r="I335" i="1"/>
  <c r="I333" i="1"/>
  <c r="I332" i="1"/>
  <c r="I331" i="1"/>
  <c r="I330" i="1"/>
  <c r="I329" i="1"/>
  <c r="I328" i="1"/>
  <c r="I327" i="1"/>
  <c r="K323" i="1"/>
  <c r="I322" i="1"/>
  <c r="I321" i="1"/>
  <c r="I320" i="1"/>
  <c r="I319" i="1"/>
  <c r="I318" i="1"/>
  <c r="I316" i="1"/>
  <c r="I315" i="1"/>
  <c r="I314" i="1"/>
  <c r="I313" i="1"/>
  <c r="I312" i="1"/>
  <c r="I311" i="1"/>
  <c r="I310" i="1"/>
  <c r="K306" i="1"/>
  <c r="I303" i="1"/>
  <c r="J303" i="1" s="1"/>
  <c r="J300" i="1" s="1"/>
  <c r="K300" i="1"/>
  <c r="I299" i="1"/>
  <c r="I298" i="1"/>
  <c r="I297" i="1"/>
  <c r="K294" i="1"/>
  <c r="I293" i="1"/>
  <c r="I292" i="1"/>
  <c r="I291" i="1"/>
  <c r="K288" i="1"/>
  <c r="K286" i="1"/>
  <c r="J286" i="1"/>
  <c r="I285" i="1"/>
  <c r="I284" i="1"/>
  <c r="K281" i="1"/>
  <c r="I280" i="1"/>
  <c r="I278" i="1"/>
  <c r="K274" i="1"/>
  <c r="I273" i="1"/>
  <c r="J273" i="1" s="1"/>
  <c r="J270" i="1" s="1"/>
  <c r="K270" i="1"/>
  <c r="I269" i="1"/>
  <c r="I268" i="1"/>
  <c r="I267" i="1"/>
  <c r="K264" i="1"/>
  <c r="I261" i="1"/>
  <c r="I260" i="1"/>
  <c r="I259" i="1"/>
  <c r="K256" i="1"/>
  <c r="I255" i="1"/>
  <c r="J255" i="1" s="1"/>
  <c r="J252" i="1" s="1"/>
  <c r="K252" i="1"/>
  <c r="I251" i="1"/>
  <c r="I250" i="1"/>
  <c r="I249" i="1"/>
  <c r="K246" i="1"/>
  <c r="I245" i="1"/>
  <c r="I244" i="1"/>
  <c r="I243" i="1"/>
  <c r="K240" i="1"/>
  <c r="I239" i="1"/>
  <c r="I238" i="1"/>
  <c r="I237" i="1"/>
  <c r="K234" i="1"/>
  <c r="I232" i="1"/>
  <c r="J232" i="1" s="1"/>
  <c r="J229" i="1" s="1"/>
  <c r="K229" i="1"/>
  <c r="I228" i="1"/>
  <c r="J228" i="1" s="1"/>
  <c r="J225" i="1" s="1"/>
  <c r="K225" i="1"/>
  <c r="I224" i="1"/>
  <c r="J224" i="1" s="1"/>
  <c r="J221" i="1" s="1"/>
  <c r="K221" i="1"/>
  <c r="I220" i="1"/>
  <c r="J220" i="1" s="1"/>
  <c r="J217" i="1" s="1"/>
  <c r="K217" i="1"/>
  <c r="I216" i="1"/>
  <c r="J216" i="1" s="1"/>
  <c r="J213" i="1" s="1"/>
  <c r="K213" i="1"/>
  <c r="I212" i="1"/>
  <c r="J212" i="1" s="1"/>
  <c r="J209" i="1" s="1"/>
  <c r="K209" i="1"/>
  <c r="I208" i="1"/>
  <c r="J208" i="1" s="1"/>
  <c r="J205" i="1" s="1"/>
  <c r="K205" i="1"/>
  <c r="K201" i="1"/>
  <c r="J201" i="1"/>
  <c r="K199" i="1"/>
  <c r="J199" i="1"/>
  <c r="K197" i="1"/>
  <c r="J197" i="1"/>
  <c r="K195" i="1"/>
  <c r="J195" i="1"/>
  <c r="I194" i="1"/>
  <c r="I193" i="1"/>
  <c r="I192" i="1"/>
  <c r="K188" i="1"/>
  <c r="I187" i="1"/>
  <c r="I186" i="1"/>
  <c r="I185" i="1"/>
  <c r="K182" i="1"/>
  <c r="I181" i="1"/>
  <c r="J181" i="1" s="1"/>
  <c r="J178" i="1" s="1"/>
  <c r="K178" i="1"/>
  <c r="I176" i="1"/>
  <c r="I175" i="1"/>
  <c r="K172" i="1"/>
  <c r="I171" i="1"/>
  <c r="I170" i="1"/>
  <c r="I169" i="1"/>
  <c r="I168" i="1"/>
  <c r="I167" i="1"/>
  <c r="I166" i="1"/>
  <c r="I165" i="1"/>
  <c r="I164" i="1"/>
  <c r="I163" i="1"/>
  <c r="I162" i="1"/>
  <c r="I161" i="1"/>
  <c r="I160" i="1"/>
  <c r="K157" i="1"/>
  <c r="I156" i="1"/>
  <c r="I155" i="1"/>
  <c r="I154" i="1"/>
  <c r="I153" i="1"/>
  <c r="I152" i="1"/>
  <c r="I151" i="1"/>
  <c r="I150" i="1"/>
  <c r="I149" i="1"/>
  <c r="I148" i="1"/>
  <c r="I147" i="1"/>
  <c r="I146" i="1"/>
  <c r="I145" i="1"/>
  <c r="K142" i="1"/>
  <c r="I141" i="1"/>
  <c r="J141" i="1" s="1"/>
  <c r="J138" i="1" s="1"/>
  <c r="K138" i="1"/>
  <c r="I137" i="1"/>
  <c r="I136" i="1"/>
  <c r="I135" i="1"/>
  <c r="K132" i="1"/>
  <c r="I131" i="1"/>
  <c r="I130" i="1"/>
  <c r="I129" i="1"/>
  <c r="I128" i="1"/>
  <c r="I127" i="1"/>
  <c r="I126" i="1"/>
  <c r="I125" i="1"/>
  <c r="I124" i="1"/>
  <c r="I123" i="1"/>
  <c r="K120" i="1"/>
  <c r="I119" i="1"/>
  <c r="J119" i="1" s="1"/>
  <c r="J116" i="1" s="1"/>
  <c r="K116" i="1"/>
  <c r="I115" i="1"/>
  <c r="I114" i="1"/>
  <c r="K111" i="1"/>
  <c r="I108" i="1"/>
  <c r="I107" i="1"/>
  <c r="K104" i="1"/>
  <c r="I101" i="1"/>
  <c r="J101" i="1" s="1"/>
  <c r="J98" i="1" s="1"/>
  <c r="K98" i="1"/>
  <c r="K95" i="1"/>
  <c r="J95" i="1"/>
  <c r="I92" i="1"/>
  <c r="I91" i="1"/>
  <c r="I90" i="1"/>
  <c r="I89" i="1"/>
  <c r="I88" i="1"/>
  <c r="K85" i="1"/>
  <c r="I82" i="1"/>
  <c r="I81" i="1"/>
  <c r="K78" i="1"/>
  <c r="I77" i="1"/>
  <c r="J77" i="1" s="1"/>
  <c r="J74" i="1" s="1"/>
  <c r="K74" i="1"/>
  <c r="I71" i="1"/>
  <c r="J71" i="1" s="1"/>
  <c r="J68" i="1" s="1"/>
  <c r="K68" i="1"/>
  <c r="I67" i="1"/>
  <c r="J67" i="1" s="1"/>
  <c r="J64" i="1" s="1"/>
  <c r="K64" i="1"/>
  <c r="I63" i="1"/>
  <c r="J63" i="1" s="1"/>
  <c r="J60" i="1" s="1"/>
  <c r="K60" i="1"/>
  <c r="I58" i="1"/>
  <c r="J58" i="1" s="1"/>
  <c r="J55" i="1" s="1"/>
  <c r="K55" i="1"/>
  <c r="I52" i="1"/>
  <c r="I51" i="1"/>
  <c r="I50" i="1"/>
  <c r="K47" i="1"/>
  <c r="I46" i="1"/>
  <c r="J46" i="1" s="1"/>
  <c r="J43" i="1" s="1"/>
  <c r="K43" i="1"/>
  <c r="I40" i="1"/>
  <c r="J40" i="1" s="1"/>
  <c r="J37" i="1" s="1"/>
  <c r="K37" i="1"/>
  <c r="I35" i="1"/>
  <c r="I34" i="1"/>
  <c r="I33" i="1"/>
  <c r="K30" i="1"/>
  <c r="I29" i="1"/>
  <c r="J29" i="1" s="1"/>
  <c r="J26" i="1" s="1"/>
  <c r="K26" i="1"/>
  <c r="I25" i="1"/>
  <c r="I24" i="1"/>
  <c r="K21" i="1"/>
  <c r="I20" i="1"/>
  <c r="J20" i="1" s="1"/>
  <c r="J17" i="1" s="1"/>
  <c r="K17" i="1"/>
  <c r="I15" i="1"/>
  <c r="I14" i="1"/>
  <c r="K11" i="1"/>
  <c r="I10" i="1"/>
  <c r="J10" i="1" s="1"/>
  <c r="J7" i="1" s="1"/>
  <c r="K7" i="1"/>
  <c r="L614" i="1" l="1"/>
  <c r="L626" i="1"/>
  <c r="L655" i="1"/>
  <c r="L669" i="1"/>
  <c r="L620" i="1"/>
  <c r="L646" i="1"/>
  <c r="L680" i="1"/>
  <c r="L895" i="1"/>
  <c r="L1018" i="1"/>
  <c r="L612" i="1"/>
  <c r="L624" i="1"/>
  <c r="L651" i="1"/>
  <c r="L667" i="1"/>
  <c r="L711" i="1"/>
  <c r="L710" i="1" s="1"/>
  <c r="L616" i="1"/>
  <c r="L628" i="1"/>
  <c r="L657" i="1"/>
  <c r="L618" i="1"/>
  <c r="L630" i="1"/>
  <c r="L659" i="1"/>
  <c r="L199" i="1"/>
  <c r="L610" i="1"/>
  <c r="L622" i="1"/>
  <c r="L648" i="1"/>
  <c r="L682" i="1"/>
  <c r="L766" i="1"/>
  <c r="J82" i="1"/>
  <c r="J78" i="1" s="1"/>
  <c r="L78" i="1" s="1"/>
  <c r="J827" i="1"/>
  <c r="J823" i="1" s="1"/>
  <c r="L823" i="1" s="1"/>
  <c r="J848" i="1"/>
  <c r="J844" i="1" s="1"/>
  <c r="L844" i="1" s="1"/>
  <c r="L861" i="1"/>
  <c r="L384" i="1"/>
  <c r="J832" i="1"/>
  <c r="J828" i="1" s="1"/>
  <c r="L828" i="1" s="1"/>
  <c r="L880" i="1"/>
  <c r="J15" i="1"/>
  <c r="J11" i="1" s="1"/>
  <c r="L11" i="1" s="1"/>
  <c r="L726" i="1"/>
  <c r="L725" i="1" s="1"/>
  <c r="L702" i="1"/>
  <c r="L449" i="1"/>
  <c r="L921" i="1"/>
  <c r="L606" i="1"/>
  <c r="L884" i="1"/>
  <c r="L936" i="1"/>
  <c r="L997" i="1"/>
  <c r="L996" i="1" s="1"/>
  <c r="L195" i="1"/>
  <c r="L604" i="1"/>
  <c r="L64" i="1"/>
  <c r="L217" i="1"/>
  <c r="L464" i="1"/>
  <c r="L882" i="1"/>
  <c r="L409" i="1"/>
  <c r="L469" i="1"/>
  <c r="L931" i="1"/>
  <c r="L577" i="1"/>
  <c r="L676" i="1"/>
  <c r="L475" i="1"/>
  <c r="L55" i="1"/>
  <c r="L54" i="1" s="1"/>
  <c r="L399" i="1"/>
  <c r="L892" i="1"/>
  <c r="L424" i="1"/>
  <c r="L252" i="1"/>
  <c r="L201" i="1"/>
  <c r="J52" i="1"/>
  <c r="J47" i="1" s="1"/>
  <c r="L47" i="1" s="1"/>
  <c r="J293" i="1"/>
  <c r="J288" i="1" s="1"/>
  <c r="L288" i="1" s="1"/>
  <c r="L17" i="1"/>
  <c r="L178" i="1"/>
  <c r="L43" i="1"/>
  <c r="L116" i="1"/>
  <c r="L300" i="1"/>
  <c r="J490" i="1"/>
  <c r="J484" i="1" s="1"/>
  <c r="L484" i="1" s="1"/>
  <c r="L672" i="1"/>
  <c r="L691" i="1"/>
  <c r="L878" i="1"/>
  <c r="L890" i="1"/>
  <c r="L68" i="1"/>
  <c r="J25" i="1"/>
  <c r="J21" i="1" s="1"/>
  <c r="L21" i="1" s="1"/>
  <c r="L95" i="1"/>
  <c r="L529" i="1"/>
  <c r="L851" i="1"/>
  <c r="L908" i="1"/>
  <c r="L923" i="1"/>
  <c r="L635" i="1"/>
  <c r="J837" i="1"/>
  <c r="J833" i="1" s="1"/>
  <c r="L833" i="1" s="1"/>
  <c r="J567" i="1"/>
  <c r="J558" i="1" s="1"/>
  <c r="L558" i="1" s="1"/>
  <c r="L429" i="1"/>
  <c r="J35" i="1"/>
  <c r="J30" i="1" s="1"/>
  <c r="L30" i="1" s="1"/>
  <c r="J504" i="1"/>
  <c r="J498" i="1" s="1"/>
  <c r="L498" i="1" s="1"/>
  <c r="L663" i="1"/>
  <c r="J781" i="1"/>
  <c r="J775" i="1" s="1"/>
  <c r="L775" i="1" s="1"/>
  <c r="J949" i="1"/>
  <c r="J945" i="1" s="1"/>
  <c r="L945" i="1" s="1"/>
  <c r="J345" i="1"/>
  <c r="J340" i="1" s="1"/>
  <c r="L340" i="1" s="1"/>
  <c r="J366" i="1"/>
  <c r="J362" i="1" s="1"/>
  <c r="L362" i="1" s="1"/>
  <c r="L459" i="1"/>
  <c r="L904" i="1"/>
  <c r="J194" i="1"/>
  <c r="J188" i="1" s="1"/>
  <c r="L188" i="1" s="1"/>
  <c r="L270" i="1"/>
  <c r="L439" i="1"/>
  <c r="L505" i="1"/>
  <c r="L706" i="1"/>
  <c r="L926" i="1"/>
  <c r="J957" i="1"/>
  <c r="J950" i="1" s="1"/>
  <c r="L950" i="1" s="1"/>
  <c r="J251" i="1"/>
  <c r="J246" i="1" s="1"/>
  <c r="L246" i="1" s="1"/>
  <c r="L209" i="1"/>
  <c r="L444" i="1"/>
  <c r="L454" i="1"/>
  <c r="L213" i="1"/>
  <c r="L510" i="1"/>
  <c r="J843" i="1"/>
  <c r="J839" i="1" s="1"/>
  <c r="L839" i="1" s="1"/>
  <c r="L886" i="1"/>
  <c r="L917" i="1"/>
  <c r="L697" i="1"/>
  <c r="L696" i="1" s="1"/>
  <c r="J944" i="1"/>
  <c r="J940" i="1" s="1"/>
  <c r="L940" i="1" s="1"/>
  <c r="L60" i="1"/>
  <c r="L197" i="1"/>
  <c r="J382" i="1"/>
  <c r="J375" i="1" s="1"/>
  <c r="L375" i="1" s="1"/>
  <c r="J765" i="1"/>
  <c r="J755" i="1" s="1"/>
  <c r="L755" i="1" s="1"/>
  <c r="J774" i="1"/>
  <c r="J768" i="1" s="1"/>
  <c r="L768" i="1" s="1"/>
  <c r="L859" i="1"/>
  <c r="L74" i="1"/>
  <c r="J261" i="1"/>
  <c r="J256" i="1" s="1"/>
  <c r="L256" i="1" s="1"/>
  <c r="J285" i="1"/>
  <c r="J281" i="1" s="1"/>
  <c r="L281" i="1" s="1"/>
  <c r="J520" i="1"/>
  <c r="J516" i="1" s="1"/>
  <c r="L516" i="1" s="1"/>
  <c r="L515" i="1" s="1"/>
  <c r="J543" i="1"/>
  <c r="J537" i="1" s="1"/>
  <c r="L537" i="1" s="1"/>
  <c r="J724" i="1"/>
  <c r="J715" i="1" s="1"/>
  <c r="L715" i="1" s="1"/>
  <c r="L876" i="1"/>
  <c r="L888" i="1"/>
  <c r="J903" i="1"/>
  <c r="J899" i="1" s="1"/>
  <c r="L899" i="1" s="1"/>
  <c r="L919" i="1"/>
  <c r="L7" i="1"/>
  <c r="J92" i="1"/>
  <c r="J85" i="1" s="1"/>
  <c r="L85" i="1" s="1"/>
  <c r="J108" i="1"/>
  <c r="J104" i="1" s="1"/>
  <c r="L104" i="1" s="1"/>
  <c r="L103" i="1" s="1"/>
  <c r="L221" i="1"/>
  <c r="J497" i="1"/>
  <c r="J491" i="1" s="1"/>
  <c r="L491" i="1" s="1"/>
  <c r="J575" i="1"/>
  <c r="J568" i="1" s="1"/>
  <c r="L568" i="1" s="1"/>
  <c r="L641" i="1"/>
  <c r="J796" i="1"/>
  <c r="J783" i="1" s="1"/>
  <c r="L783" i="1" s="1"/>
  <c r="L857" i="1"/>
  <c r="L897" i="1"/>
  <c r="L913" i="1"/>
  <c r="L912" i="1" s="1"/>
  <c r="J115" i="1"/>
  <c r="J111" i="1" s="1"/>
  <c r="L111" i="1" s="1"/>
  <c r="L205" i="1"/>
  <c r="L225" i="1"/>
  <c r="L434" i="1"/>
  <c r="L479" i="1"/>
  <c r="L644" i="1"/>
  <c r="J821" i="1"/>
  <c r="J803" i="1" s="1"/>
  <c r="L803" i="1" s="1"/>
  <c r="L394" i="1"/>
  <c r="J746" i="1"/>
  <c r="J736" i="1" s="1"/>
  <c r="L736" i="1" s="1"/>
  <c r="L1012" i="1"/>
  <c r="J269" i="1"/>
  <c r="J264" i="1" s="1"/>
  <c r="L264" i="1" s="1"/>
  <c r="J176" i="1"/>
  <c r="J172" i="1" s="1"/>
  <c r="L172" i="1" s="1"/>
  <c r="L286" i="1"/>
  <c r="J528" i="1"/>
  <c r="J522" i="1" s="1"/>
  <c r="L522" i="1" s="1"/>
  <c r="L633" i="1"/>
  <c r="J690" i="1"/>
  <c r="J685" i="1" s="1"/>
  <c r="L685" i="1" s="1"/>
  <c r="J995" i="1"/>
  <c r="J977" i="1" s="1"/>
  <c r="L977" i="1" s="1"/>
  <c r="L1015" i="1"/>
  <c r="J239" i="1"/>
  <c r="J234" i="1" s="1"/>
  <c r="L234" i="1" s="1"/>
  <c r="J339" i="1"/>
  <c r="J323" i="1" s="1"/>
  <c r="L323" i="1" s="1"/>
  <c r="J557" i="1"/>
  <c r="J544" i="1" s="1"/>
  <c r="L544" i="1" s="1"/>
  <c r="L863" i="1"/>
  <c r="L419" i="1"/>
  <c r="L661" i="1"/>
  <c r="J171" i="1"/>
  <c r="J157" i="1" s="1"/>
  <c r="L157" i="1" s="1"/>
  <c r="J131" i="1"/>
  <c r="J120" i="1" s="1"/>
  <c r="L120" i="1" s="1"/>
  <c r="J600" i="1"/>
  <c r="J582" i="1" s="1"/>
  <c r="L582" i="1" s="1"/>
  <c r="L853" i="1"/>
  <c r="J976" i="1"/>
  <c r="J958" i="1" s="1"/>
  <c r="L958" i="1" s="1"/>
  <c r="J299" i="1"/>
  <c r="J294" i="1" s="1"/>
  <c r="L294" i="1" s="1"/>
  <c r="J735" i="1"/>
  <c r="J729" i="1" s="1"/>
  <c r="L729" i="1" s="1"/>
  <c r="J753" i="1"/>
  <c r="J748" i="1" s="1"/>
  <c r="L748" i="1" s="1"/>
  <c r="J874" i="1"/>
  <c r="J866" i="1" s="1"/>
  <c r="L866" i="1" s="1"/>
  <c r="L1002" i="1"/>
  <c r="L389" i="1"/>
  <c r="J187" i="1"/>
  <c r="J182" i="1" s="1"/>
  <c r="L182" i="1" s="1"/>
  <c r="J245" i="1"/>
  <c r="J240" i="1" s="1"/>
  <c r="L240" i="1" s="1"/>
  <c r="J280" i="1"/>
  <c r="J274" i="1" s="1"/>
  <c r="L274" i="1" s="1"/>
  <c r="J372" i="1"/>
  <c r="J368" i="1" s="1"/>
  <c r="L368" i="1" s="1"/>
  <c r="L367" i="1" s="1"/>
  <c r="L535" i="1"/>
  <c r="L639" i="1"/>
  <c r="J802" i="1"/>
  <c r="J798" i="1" s="1"/>
  <c r="L798" i="1" s="1"/>
  <c r="L855" i="1"/>
  <c r="L910" i="1"/>
  <c r="L1007" i="1"/>
  <c r="L37" i="1"/>
  <c r="L229" i="1"/>
  <c r="L404" i="1"/>
  <c r="L138" i="1"/>
  <c r="J361" i="1"/>
  <c r="J354" i="1" s="1"/>
  <c r="L354" i="1" s="1"/>
  <c r="J156" i="1"/>
  <c r="J142" i="1" s="1"/>
  <c r="L142" i="1" s="1"/>
  <c r="J322" i="1"/>
  <c r="J306" i="1" s="1"/>
  <c r="L306" i="1" s="1"/>
  <c r="L602" i="1"/>
  <c r="L637" i="1"/>
  <c r="L414" i="1"/>
  <c r="L26" i="1"/>
  <c r="J137" i="1"/>
  <c r="J132" i="1" s="1"/>
  <c r="L132" i="1" s="1"/>
  <c r="L481" i="1"/>
  <c r="L98" i="1"/>
  <c r="J352" i="1"/>
  <c r="J347" i="1" s="1"/>
  <c r="L347" i="1" s="1"/>
  <c r="L1017" i="1"/>
  <c r="L650" i="1" l="1"/>
  <c r="L609" i="1"/>
  <c r="L6" i="1"/>
  <c r="L601" i="1"/>
  <c r="L865" i="1"/>
  <c r="L654" i="1"/>
  <c r="L684" i="1"/>
  <c r="L838" i="1"/>
  <c r="L747" i="1"/>
  <c r="L576" i="1"/>
  <c r="L754" i="1"/>
  <c r="L1001" i="1"/>
  <c r="L875" i="1"/>
  <c r="L850" i="1"/>
  <c r="L1014" i="1"/>
  <c r="L1006" i="1"/>
  <c r="L94" i="1"/>
  <c r="L383" i="1"/>
  <c r="L204" i="1"/>
  <c r="L714" i="1"/>
  <c r="L643" i="1"/>
  <c r="L374" i="1"/>
  <c r="L305" i="1"/>
  <c r="L925" i="1"/>
  <c r="L782" i="1"/>
  <c r="L36" i="1"/>
  <c r="L671" i="1"/>
  <c r="L346" i="1"/>
  <c r="L1009" i="1"/>
  <c r="L84" i="1"/>
  <c r="L97" i="1"/>
  <c r="L521" i="1" l="1"/>
  <c r="L695" i="1"/>
  <c r="L701" i="1"/>
  <c r="L73" i="1"/>
  <c r="L353" i="1"/>
  <c r="L916" i="1"/>
  <c r="L653" i="1"/>
  <c r="L233" i="1"/>
  <c r="L915" i="1"/>
  <c r="L5" i="1"/>
  <c r="L177" i="1"/>
  <c r="L102" i="1"/>
  <c r="L93" i="1"/>
  <c r="L632" i="1"/>
  <c r="L474" i="1"/>
  <c r="L483" i="1"/>
  <c r="L822" i="1"/>
  <c r="L42" i="1"/>
  <c r="L59" i="1"/>
  <c r="L894" i="1"/>
  <c r="L263" i="1"/>
  <c r="L110" i="1"/>
  <c r="L534" i="1"/>
  <c r="L16" i="1"/>
  <c r="L728" i="1"/>
  <c r="L797" i="1"/>
  <c r="L262" i="1"/>
  <c r="L72" i="1"/>
  <c r="L83" i="1"/>
  <c r="L849" i="1" l="1"/>
  <c r="L53" i="1"/>
  <c r="L533" i="1"/>
  <c r="L41" i="1"/>
  <c r="L713" i="1"/>
  <c r="L203" i="1"/>
  <c r="L304" i="1"/>
  <c r="L608" i="1"/>
  <c r="L109" i="1"/>
  <c r="L373" i="1"/>
  <c r="L4" i="1" l="1"/>
</calcChain>
</file>

<file path=xl/sharedStrings.xml><?xml version="1.0" encoding="utf-8"?>
<sst xmlns="http://schemas.openxmlformats.org/spreadsheetml/2006/main" count="6376" uniqueCount="2205">
  <si>
    <t>Obra:</t>
  </si>
  <si>
    <t>Presupuesto</t>
  </si>
  <si>
    <t>Código</t>
  </si>
  <si>
    <t>Ud</t>
  </si>
  <si>
    <t>Resumen</t>
  </si>
  <si>
    <t>Cantidad</t>
  </si>
  <si>
    <t>Precio (€)</t>
  </si>
  <si>
    <t>Importe (€)</t>
  </si>
  <si>
    <t>D</t>
  </si>
  <si>
    <t>Demoliciones</t>
  </si>
  <si>
    <t>DE</t>
  </si>
  <si>
    <t>Estructuras</t>
  </si>
  <si>
    <t>DQF</t>
  </si>
  <si>
    <t>Cubiertas</t>
  </si>
  <si>
    <t>DQF020</t>
  </si>
  <si>
    <t>m²</t>
  </si>
  <si>
    <t>Demolición de formación de pendientes de tablero cerámico en cub</t>
  </si>
  <si>
    <t>Demolición de tablero cerámico en formación de pendientes de cubierta, con medios manuales, sin afectar a la estabilidad de los tabiques aligerados cerámicos y elementos constructivos contiguos, y carga manual sobre camión o contenedor.</t>
  </si>
  <si>
    <t>Uds.</t>
  </si>
  <si>
    <t>Largo</t>
  </si>
  <si>
    <t>Ancho</t>
  </si>
  <si>
    <t>Alto</t>
  </si>
  <si>
    <t>Parcial</t>
  </si>
  <si>
    <t>Subtotal</t>
  </si>
  <si>
    <t>Cubierta vivienda</t>
  </si>
  <si>
    <t>DQC040</t>
  </si>
  <si>
    <t>m²</t>
  </si>
  <si>
    <t>Desmontaje de cobertura de teja cerámica curva, colocada con mor</t>
  </si>
  <si>
    <t>Desmontaje de cobertura de teja cerámica curva, colocada con mortero a menos de 20 m de altura, en cubierta inclinada en L con una pendiente media del 30%; con medios manuales, y carga manual sobre camión o contenedor.</t>
  </si>
  <si>
    <t>Uds.</t>
  </si>
  <si>
    <t>Largo</t>
  </si>
  <si>
    <t>Ancho</t>
  </si>
  <si>
    <t>Alto</t>
  </si>
  <si>
    <t>Parcial</t>
  </si>
  <si>
    <t>Subtotal</t>
  </si>
  <si>
    <t>Cubierta vivienda</t>
  </si>
  <si>
    <t>Ciubierta trastero</t>
  </si>
  <si>
    <t>DEH</t>
  </si>
  <si>
    <t>Hormigón</t>
  </si>
  <si>
    <t>DEH020</t>
  </si>
  <si>
    <t>m²</t>
  </si>
  <si>
    <t>Demolición de forjado de hormigón armado, con medios manuales.</t>
  </si>
  <si>
    <t>Demolición de forjado unidireccional de hormigón armado con viguetas prefabricadas de hormigón, entrevigado de bovedillas cerámicas o de hormigón y capa de compresión de hormigón, con medios manuales, martillo neumático y equipo de oxicorte, previo levantado del pavimento y su base, y carga manual sobre camión o contenedor. Incluso muretes de cimentacion y zapatas segun necesidades de nueve cimentacion.
INCLUIDO MURETE Y ZAPATA
Incluye: Replanteo de la superficie de forjado a demoler. Demolición del elemento. Corte de las armaduras. Fragmentación de los escombros en piezas manejables. Retirada y acopio de escombros. Limpieza de los restos de obra. Carga manual de escombros sobre camión o contenedor.</t>
  </si>
  <si>
    <t>Uds.</t>
  </si>
  <si>
    <t>Largo</t>
  </si>
  <si>
    <t>Ancho</t>
  </si>
  <si>
    <t>Alto</t>
  </si>
  <si>
    <t>Parcial</t>
  </si>
  <si>
    <t>Subtotal</t>
  </si>
  <si>
    <t>Demolicion terraza existente, FORJADO SANITARIO</t>
  </si>
  <si>
    <t>DEH020A</t>
  </si>
  <si>
    <t>m²</t>
  </si>
  <si>
    <t>Demolición de forjado de hormigón armado, con medios manuales.</t>
  </si>
  <si>
    <t>Demolición de forjado unidireccional de hormigón armado con viguetas prefabricadas de hormigón, entrevigado de bovedillas cerámicas o de hormigón y capa de compresión de hormigón, con medios manuales, martillo neumático y equipo de oxicorte, previo levantado del pavimento y su base, y carga manual sobre camión o contenedor.
Incluye: Replanteo de la superficie de forjado a demoler. Demolición del elemento. Corte de las armaduras. Fragmentación de los escombros en piezas manejables. Retirada y acopio de escombros. Limpieza de los restos de obra. Carga manual de escombros sobre camión o contenedor.</t>
  </si>
  <si>
    <t>Uds.</t>
  </si>
  <si>
    <t>Largo</t>
  </si>
  <si>
    <t>Ancho</t>
  </si>
  <si>
    <t>Alto</t>
  </si>
  <si>
    <t>Parcial</t>
  </si>
  <si>
    <t>Subtotal</t>
  </si>
  <si>
    <t>Demolición forjado existente. FORJADO PRIMERO</t>
  </si>
  <si>
    <t>Demolicion forjado trastero</t>
  </si>
  <si>
    <t>DEH060</t>
  </si>
  <si>
    <t>m²</t>
  </si>
  <si>
    <t>Demolición de losa escalera de hormigón</t>
  </si>
  <si>
    <t xml:space="preserve"> Demolición de losa escaleras y capa de compresión de hormigón, con medios manuales, martillo neumático y equipo de oxicorte, previo levantado del pavimento y su base, y carga manual sobre camión o contenedor.
Incluye: Replanteo de la superficie de forjado a demoler. Demolición del elemento. Corte de las armaduras. Fragmentación de los escombros en piezas manejables. Retirada y acopio de escombros. Limpieza de los restos de obra. Carga manual de escombros sobre camión o contenedor.</t>
  </si>
  <si>
    <t>Uds.</t>
  </si>
  <si>
    <t>Largo</t>
  </si>
  <si>
    <t>Ancho</t>
  </si>
  <si>
    <t>Alto</t>
  </si>
  <si>
    <t>Parcial</t>
  </si>
  <si>
    <t>Subtotal</t>
  </si>
  <si>
    <t>DEMOLICIÓN 3 ESCALERAS TERRAZA EXISTENTE. Y CANCELA</t>
  </si>
  <si>
    <t>DMX020</t>
  </si>
  <si>
    <t>m²</t>
  </si>
  <si>
    <t>Demolición de losa exterior de hormigón armado,</t>
  </si>
  <si>
    <t>Demolición de pavimento exterior de hormigón armado, mediante retroexcavadora con martillo rompedor, y carga mecánica sobre camión o contenedor.</t>
  </si>
  <si>
    <t>Uds.</t>
  </si>
  <si>
    <t>Largo</t>
  </si>
  <si>
    <t>Ancho</t>
  </si>
  <si>
    <t>Alto</t>
  </si>
  <si>
    <t>Parcial</t>
  </si>
  <si>
    <t>Subtotal</t>
  </si>
  <si>
    <t>zona a plantar cesped</t>
  </si>
  <si>
    <t>zona depuradora de oxidacion total y tratamiento aguas</t>
  </si>
  <si>
    <t>losa existente donde ira piscina</t>
  </si>
  <si>
    <t>DEF</t>
  </si>
  <si>
    <t>Fábrica</t>
  </si>
  <si>
    <t>DEF030</t>
  </si>
  <si>
    <t>m³</t>
  </si>
  <si>
    <t>Demolición de pilastra de fábrica de ladrillo cerámico macizo, c</t>
  </si>
  <si>
    <t>Demolición de pilastra de fábrica de ladrillo cerámico macizo, con medios manuales, y carga manual sobre camión o contenedor.</t>
  </si>
  <si>
    <t>Uds.</t>
  </si>
  <si>
    <t>Largo</t>
  </si>
  <si>
    <t>Ancho</t>
  </si>
  <si>
    <t>Alto</t>
  </si>
  <si>
    <t>Parcial</t>
  </si>
  <si>
    <t>Subtotal</t>
  </si>
  <si>
    <t>pilar en vallado norte para reubicacion puertas cancela y gara</t>
  </si>
  <si>
    <t>DP</t>
  </si>
  <si>
    <t>Particiones</t>
  </si>
  <si>
    <t>DPT</t>
  </si>
  <si>
    <t>Tabiqueria</t>
  </si>
  <si>
    <t>DPT020</t>
  </si>
  <si>
    <t>m²</t>
  </si>
  <si>
    <t>Demolición de partición interior de fábrica revestida. LH7</t>
  </si>
  <si>
    <t>Demolición de partición interior de fábrica revestida, formada por ladrillo hueco doble de 7/9 cm de espesor, con medios manuales, sin afectar a la estabilidad de los elementos constructivos contiguos, y carga manual sobre camión o contenedor.
Incluye: Demolición de la fábrica y sus revestimientos. Fragmentación de los escombros en piezas manejables. Retirada y acopio de escombros. Limpieza de los restos de obra. Carga manual de escombros sobre camión o contenedor.</t>
  </si>
  <si>
    <t>Uds.</t>
  </si>
  <si>
    <t>Largo</t>
  </si>
  <si>
    <t>Ancho</t>
  </si>
  <si>
    <t>Alto</t>
  </si>
  <si>
    <t>Parcial</t>
  </si>
  <si>
    <t>Subtotal</t>
  </si>
  <si>
    <t>TAbiques divisorios dormitorios y cocina</t>
  </si>
  <si>
    <t>DPT020B</t>
  </si>
  <si>
    <t>m²</t>
  </si>
  <si>
    <t>Demolicion de partición interior LH11 y muro Bloque hormigon 20</t>
  </si>
  <si>
    <t>Demolición de partición interior de fábrica revestida, formada por ladrillo hueco triple de 11/12 cm de espesor y muro de bloque de 20 cm, con medios manuales, sin afectar a la estabilidad de los elementos constructivos contiguos, y carga manual sobre camión o contenedor.
Incluye: Demolición de la fábrica y sus revestimientos. Fragmentación de los escombros en piezas manejables. Retirada y acopio de escombros. Limpieza de los restos de obra. Carga manual de escombros sobre camión o contenedor.</t>
  </si>
  <si>
    <t>Uds.</t>
  </si>
  <si>
    <t>Largo</t>
  </si>
  <si>
    <t>Ancho</t>
  </si>
  <si>
    <t>Alto</t>
  </si>
  <si>
    <t>Parcial</t>
  </si>
  <si>
    <t>Subtotal</t>
  </si>
  <si>
    <t>Fachadas SurY Oeste</t>
  </si>
  <si>
    <t>Tabiqueria trastero ext.</t>
  </si>
  <si>
    <t>Muro cierre norte parcela para ampliar puerta garaje</t>
  </si>
  <si>
    <t>DL</t>
  </si>
  <si>
    <t>Carpinterías, vidrios y protecciones solares</t>
  </si>
  <si>
    <t>DLC</t>
  </si>
  <si>
    <t>Carpintería</t>
  </si>
  <si>
    <t>DLC010</t>
  </si>
  <si>
    <t>Ud</t>
  </si>
  <si>
    <t>Desmontaje de hoja de carpintería exterior</t>
  </si>
  <si>
    <t>Desmontaje de hoja de carpintería acristalada de aluminio de cualquier tipo situada en fachada, de menos de 3 m² de superficie, con medios manuales, sin deteriorar los elementos constructivos a los que está sujeta, y carga manual sobre camión o contenedor.</t>
  </si>
  <si>
    <t>Uds.</t>
  </si>
  <si>
    <t>Largo</t>
  </si>
  <si>
    <t>Ancho</t>
  </si>
  <si>
    <t>Alto</t>
  </si>
  <si>
    <t>Parcial</t>
  </si>
  <si>
    <t>Subtotal</t>
  </si>
  <si>
    <t>carpinterías existnetes</t>
  </si>
  <si>
    <t>DLP</t>
  </si>
  <si>
    <t>Puertas</t>
  </si>
  <si>
    <t>DLP020</t>
  </si>
  <si>
    <t>Ud</t>
  </si>
  <si>
    <t>Desmontaje de hoja de puerta de entrada a vivienda</t>
  </si>
  <si>
    <t>Desmontaje de hoja de puerta y premarco de entrada a vivienda de carpintería de madera, con medios manuales, y carga manual sobre camión o contenedor.</t>
  </si>
  <si>
    <t>Uds.</t>
  </si>
  <si>
    <t>Largo</t>
  </si>
  <si>
    <t>Ancho</t>
  </si>
  <si>
    <t>Alto</t>
  </si>
  <si>
    <t>Parcial</t>
  </si>
  <si>
    <t>Subtotal</t>
  </si>
  <si>
    <t>puerta entrada a casa</t>
  </si>
  <si>
    <t>DLP300</t>
  </si>
  <si>
    <t>Ud</t>
  </si>
  <si>
    <t>Desmontaje de puerta de garaje abatible de hasta 5 m² de superfi</t>
  </si>
  <si>
    <t>Desmontaje de puerta de garaje abatible de hasta 5 m² de superficie, con medios manuales, sin deteriorar los elementos constructivos a los que está sujeta, y carga manual sobre camión o contenedor.</t>
  </si>
  <si>
    <t>Uds.</t>
  </si>
  <si>
    <t>Largo</t>
  </si>
  <si>
    <t>Ancho</t>
  </si>
  <si>
    <t>Alto</t>
  </si>
  <si>
    <t>Parcial</t>
  </si>
  <si>
    <t>Subtotal</t>
  </si>
  <si>
    <t>puerta garage</t>
  </si>
  <si>
    <t>DLP220</t>
  </si>
  <si>
    <t>Ud</t>
  </si>
  <si>
    <t>Desmontaje de hoja de puerta interior</t>
  </si>
  <si>
    <t>Desmontaje de hoja de puerta interior y premarco  de carpintería de madera, con medios manuales, y carga manual sobre camión o contenedor.</t>
  </si>
  <si>
    <t>Uds.</t>
  </si>
  <si>
    <t>Largo</t>
  </si>
  <si>
    <t>Ancho</t>
  </si>
  <si>
    <t>Alto</t>
  </si>
  <si>
    <t>Parcial</t>
  </si>
  <si>
    <t>Subtotal</t>
  </si>
  <si>
    <t>Puertas interiores</t>
  </si>
  <si>
    <t>DU</t>
  </si>
  <si>
    <t>Urbanizacion interior de la parcela</t>
  </si>
  <si>
    <t>DUV</t>
  </si>
  <si>
    <t>Cerramientos exteriores</t>
  </si>
  <si>
    <t>DUV070</t>
  </si>
  <si>
    <t>M</t>
  </si>
  <si>
    <t>Levantado de verja modular continua en vallado de parcela</t>
  </si>
  <si>
    <t>Levantado de cerramiento, demolicion verja modular continua en vallado de parcela, con una altura menor de 2 m, con medios manuales y equipo de oxicorte, y carga manual sobre camión o contenedor. INCLUIDAS PUERTAS CANCELAS
Incluye: Levantado del elemento. INCLUIDAS PUERTAS CANCELAS. Fragmentación de los escombros en piezas manejables. Retirada y acopio de escombros. Limpieza de los restos de obra. Carga manual del material levantado y restos de obra sobre camión o contenedor.</t>
  </si>
  <si>
    <t>Uds.</t>
  </si>
  <si>
    <t>Largo</t>
  </si>
  <si>
    <t>Ancho</t>
  </si>
  <si>
    <t>Alto</t>
  </si>
  <si>
    <t>Parcial</t>
  </si>
  <si>
    <t>Subtotal</t>
  </si>
  <si>
    <t>verja de fachada norte</t>
  </si>
  <si>
    <t>DUV020</t>
  </si>
  <si>
    <t>m²</t>
  </si>
  <si>
    <t>Demolición de muro de fábrica de ladrillo cerámico hueco,</t>
  </si>
  <si>
    <t>Demolición de murete de fábrica de ladrillo cerámico hueco, en vallado de parcela, con martillo neumático, y carga manual de escombros sobre camión o contenedor.
Incluye: Demolición del elemento. Fragmentación de los escombros en piezas manejables. Retirada y acopio de escombros. Limpieza de los restos de obra. Carga manual de escombros sobre camión o contenedor.</t>
  </si>
  <si>
    <t>Uds.</t>
  </si>
  <si>
    <t>Largo</t>
  </si>
  <si>
    <t>Ancho</t>
  </si>
  <si>
    <t>Alto</t>
  </si>
  <si>
    <t>Parcial</t>
  </si>
  <si>
    <t>Subtotal</t>
  </si>
  <si>
    <t>Murete separacion garage</t>
  </si>
  <si>
    <t>Murete jardineras</t>
  </si>
  <si>
    <t>DR</t>
  </si>
  <si>
    <t>Revestimientos y trasdosados</t>
  </si>
  <si>
    <t>DRC</t>
  </si>
  <si>
    <t>De piezas rigidas en paramentos verticales</t>
  </si>
  <si>
    <t>DRC020</t>
  </si>
  <si>
    <t>m²</t>
  </si>
  <si>
    <t>Demolición de revestimiento con piezas de piedra natural,</t>
  </si>
  <si>
    <t>Demolición de revestimiento con piezas de piedra natural, con medios manuales, sin afectar a la estabilidad del paramento, y carga manual sobre camión o contenedor.
Incluye: Demolición del elemento. Fragmentación de los escombros en piezas manejables. Retirada y acopio de escombros. Limpieza de los restos de obra. Carga manual de escombros sobre camión o contenedor.</t>
  </si>
  <si>
    <t>Uds.</t>
  </si>
  <si>
    <t>Largo</t>
  </si>
  <si>
    <t>Ancho</t>
  </si>
  <si>
    <t>Alto</t>
  </si>
  <si>
    <t>Parcial</t>
  </si>
  <si>
    <t>Subtotal</t>
  </si>
  <si>
    <t>piedra en cierre fachada norte</t>
  </si>
  <si>
    <t>Piedra en zocalo vivienda</t>
  </si>
  <si>
    <t>Piedra en zocalo trastero</t>
  </si>
  <si>
    <t>Piedra en pilares fachada norte</t>
  </si>
  <si>
    <t>Piedra en zocalo terraza</t>
  </si>
  <si>
    <t>DS</t>
  </si>
  <si>
    <t>Equipamiento</t>
  </si>
  <si>
    <t>DSM</t>
  </si>
  <si>
    <t>Baños</t>
  </si>
  <si>
    <t>DSM020</t>
  </si>
  <si>
    <t>Ud</t>
  </si>
  <si>
    <t>Desmontaje de aparatos sanitarios 2 baños.</t>
  </si>
  <si>
    <t>Desmontaje de inodoro con tanque bajo, lavabo y mueble de lavabo, plato de ducha acrílico y mampara con medios manuales, sin afectar a la estabilidad de los elementos constructivos a los que pueda estar sujeto, y carga manual sobre camión o contenedor. Inluido el desmontaje de la grifería de lavabo y ducha.</t>
  </si>
  <si>
    <t>DSC</t>
  </si>
  <si>
    <t>Cocinas</t>
  </si>
  <si>
    <t>DSC020</t>
  </si>
  <si>
    <t>m</t>
  </si>
  <si>
    <t>Desmontaje de conjunto de mobiliario de cocina</t>
  </si>
  <si>
    <t>Desmontaje de conjunto de mobiliario de cocina, con medios manuales, sin afectar a la estabilidad de los elementos resistentes a los que puedan estar unidos, y carga manual sobre camión o contenedor.
INCLUYE DESMONTAJE ENCIMERA PIEDRA NATURAL, FREGADERO, LAVAVAJILLAS</t>
  </si>
  <si>
    <t>Uds.</t>
  </si>
  <si>
    <t>Largo</t>
  </si>
  <si>
    <t>Ancho</t>
  </si>
  <si>
    <t>Alto</t>
  </si>
  <si>
    <t>Parcial</t>
  </si>
  <si>
    <t>Subtotal</t>
  </si>
  <si>
    <t>mobiliairo cocina</t>
  </si>
  <si>
    <t>DM</t>
  </si>
  <si>
    <t>Firmes y pavimentos</t>
  </si>
  <si>
    <t>DMX</t>
  </si>
  <si>
    <t>Pavimentos exteriores</t>
  </si>
  <si>
    <t>DMX040</t>
  </si>
  <si>
    <t>m²</t>
  </si>
  <si>
    <t>Demolición de pavimento exterior cerámico,</t>
  </si>
  <si>
    <t>Demolición de pavimento exterior cerámico, con medios manuales, y carga manual sobre camión o contenedor.
ncluye: Demolición del elemento. Fragmentación de los escombros en piezas manejables. Retirada y acopio de escombros. Limpieza de los restos de obra. Carga manual de escombros sobre camión o contenedor.</t>
  </si>
  <si>
    <t>Uds.</t>
  </si>
  <si>
    <t>Largo</t>
  </si>
  <si>
    <t>Ancho</t>
  </si>
  <si>
    <t>Alto</t>
  </si>
  <si>
    <t>Parcial</t>
  </si>
  <si>
    <t>Subtotal</t>
  </si>
  <si>
    <t>Pavimento exterior parcela</t>
  </si>
  <si>
    <t>Pavimento terraza</t>
  </si>
  <si>
    <t>A</t>
  </si>
  <si>
    <t>Acondicionamiento del terreno</t>
  </si>
  <si>
    <t>AD</t>
  </si>
  <si>
    <t>Movimiento de tierras en edificación</t>
  </si>
  <si>
    <t>0DP010</t>
  </si>
  <si>
    <t>Ud</t>
  </si>
  <si>
    <t>Arranque de árbol</t>
  </si>
  <si>
    <t>Trabajo necesario para el arranque de árbol de 250 cm de altura y 100 cm de diámetro de copa, mediante la utilización de medios manuales y mecánicos. Incluso tala de ramas y tronco de 20 cm de diámetro (medido a una altura de 1 m sobre el suelo), arrancado de cepa con posterior relleno del hueco de la cepa con tierra, recogida y carga sobre camión o contenedor de la broza generada.
Incluye: Protección y señalización de los espacios afectados. Tala de las ramas hasta dejar limpio el tronco. Tala del tronco a ras de cepa. Arranque de la cepa. Recogida de la broza generada. Carga sobre camión o contenedor.</t>
  </si>
  <si>
    <t>Uds.</t>
  </si>
  <si>
    <t>Largo</t>
  </si>
  <si>
    <t>Ancho</t>
  </si>
  <si>
    <t>Alto</t>
  </si>
  <si>
    <t>Parcial</t>
  </si>
  <si>
    <t>Subtotal</t>
  </si>
  <si>
    <t>Arboles y arbustos en jardin trasero</t>
  </si>
  <si>
    <t>Arbustos jardineta Norte</t>
  </si>
  <si>
    <t>ADE002b</t>
  </si>
  <si>
    <t>m³</t>
  </si>
  <si>
    <t>Excavación piscina</t>
  </si>
  <si>
    <t>Excavación a cielo abierto, en cualquier tipo de terreno, con medios mecánicos, y carga a camión.
Incluye: Replanteo general y fijación de los puntos y niveles de referencia. Colocación de las camillas en las esquinas y extremos de las alineaciones. Excavación en sucesivas franjas horizontales y extracción de tierras. Refinado de fondos y laterales a mano, con extracción de las tierras. Carga a camión de los materiales excavados.</t>
  </si>
  <si>
    <t>Uds.</t>
  </si>
  <si>
    <t>Largo</t>
  </si>
  <si>
    <t>Ancho</t>
  </si>
  <si>
    <t>Alto</t>
  </si>
  <si>
    <t>Parcial</t>
  </si>
  <si>
    <t>Subtotal</t>
  </si>
  <si>
    <t>Piscina</t>
  </si>
  <si>
    <t>ADE010C</t>
  </si>
  <si>
    <t>m³</t>
  </si>
  <si>
    <t>Excavación de zanjas para instalaciones hasta una profundidad de</t>
  </si>
  <si>
    <t>Excavación de zanjas para instalacioneshasta una profundidad de 2 m, en suelo de arcilla semidura, con medios mecánicos, y carga a camión.
Incluye: Replanteo general y fijación de los puntos y niveles de referencia. Colocación de las camillas en las esquinas y extremos de las alineaciones. Excavación en sucesivas franjas horizontales y extracción de tierras. Refinado de fondos y laterales a mano, con extracción de las tierras. Carga a camión de los materiales excavados.</t>
  </si>
  <si>
    <t>Uds.</t>
  </si>
  <si>
    <t>Largo</t>
  </si>
  <si>
    <t>Ancho</t>
  </si>
  <si>
    <t>Alto</t>
  </si>
  <si>
    <t>Parcial</t>
  </si>
  <si>
    <t>Subtotal</t>
  </si>
  <si>
    <t>Zanja saneamiento</t>
  </si>
  <si>
    <t>Zanja pluviales</t>
  </si>
  <si>
    <t>Pozo depuradora de oxidación total</t>
  </si>
  <si>
    <t>Separador de grasas 0.80 diametro x 1.50 altura</t>
  </si>
  <si>
    <t>Pozo estanco de 1.1m diametro</t>
  </si>
  <si>
    <t>Pozo drenante de 1.1m diametro</t>
  </si>
  <si>
    <t>Arqueta de decantación 60x60x90</t>
  </si>
  <si>
    <t>Zanja evacuacion aguas aseo exterior</t>
  </si>
  <si>
    <t>Zanjas sistema de riego</t>
  </si>
  <si>
    <t>ADR010</t>
  </si>
  <si>
    <t>m³</t>
  </si>
  <si>
    <t>Relleno envolvente y principal de zanjas para instalaciones</t>
  </si>
  <si>
    <t>Relleno envolvente y principal de zanjas para instalaciones, con tierra seleccionada procedente de la propia excavación y compactación en tongadas sucesivas de 20 cm de espesor máximo con pisón vibrante de guiado manual, hasta alcanzar una densidad seca no inferior al 95% de la máxima obtenida en el ensayo Proctor Modificado, realizado según UNE 103501. Incluso cinta o distintivo indicador de la instalación.
Incluye: Extendido del material de relleno en tongadas de espesor uniforme. Humectación o desecación de cada tongada. Colocación de cinta o distintivo indicador de la instalación. Compactación.</t>
  </si>
  <si>
    <t>Uds.</t>
  </si>
  <si>
    <t>Largo</t>
  </si>
  <si>
    <t>Ancho</t>
  </si>
  <si>
    <t>Alto</t>
  </si>
  <si>
    <t>Parcial</t>
  </si>
  <si>
    <t>Subtotal</t>
  </si>
  <si>
    <t>Zanja saneamiento</t>
  </si>
  <si>
    <t>Zanja pluviales</t>
  </si>
  <si>
    <t>Zanja evacuacion aguas aseo exterior</t>
  </si>
  <si>
    <t>ADR100</t>
  </si>
  <si>
    <t>m²</t>
  </si>
  <si>
    <t>Compactación mecánica de fondo de excavación</t>
  </si>
  <si>
    <t>Compactación mecánica de fondo de excavación, hasta alcanzar una densidad seca no inferior al 95% de la máxima obtenida en el ensayo Proctor Modificado, realizado según UNE 103501.
Incluye: Situación de los puntos topográficos. Bajada de la maquinaria al fondo de la excavación. Humectación de las tierras. Compactación. Retirada de la maquinaria del fondo de la excavación.</t>
  </si>
  <si>
    <t>Uds.</t>
  </si>
  <si>
    <t>Largo</t>
  </si>
  <si>
    <t>Ancho</t>
  </si>
  <si>
    <t>Alto</t>
  </si>
  <si>
    <t>Parcial</t>
  </si>
  <si>
    <t>Subtotal</t>
  </si>
  <si>
    <t>Vaso piscina</t>
  </si>
  <si>
    <t>GTA020</t>
  </si>
  <si>
    <t>m³</t>
  </si>
  <si>
    <t>Transporte de tierras con camión</t>
  </si>
  <si>
    <t>Transporte de tierras con camión de los productos procedentes de la excavación de cualquier tipo de terreno a vertedero específico, instalación de tratamiento de residuos de construcción y demolición externa a la obra o centro de valorización o eliminación de residuos, situado a una distancia no limitada.
Incluye: Transporte de tierras a vertedero específico, instalación de tratamiento de residuos de construcción y demolición externa a la obra o centro de valorización o eliminación de residuos, con protección de las mismas mediante su cubrición con lonas o toldos.</t>
  </si>
  <si>
    <t>Uds.</t>
  </si>
  <si>
    <t>Largo</t>
  </si>
  <si>
    <t>Ancho</t>
  </si>
  <si>
    <t>Alto</t>
  </si>
  <si>
    <t>Parcial</t>
  </si>
  <si>
    <t>Subtotal</t>
  </si>
  <si>
    <t>Zanja saneamiento</t>
  </si>
  <si>
    <t>Zanja pluviales</t>
  </si>
  <si>
    <t>Pozo depuradora de oxidación total</t>
  </si>
  <si>
    <t>Separador de grasas 0.80 diametro x 1.50 altura</t>
  </si>
  <si>
    <t>Pozo estanco de 1.1m diametro</t>
  </si>
  <si>
    <t>Pozo drenante de 1.1m diametro</t>
  </si>
  <si>
    <t>Arqueta de decantación 60x60x90</t>
  </si>
  <si>
    <t>Zanja evacuacion aguas aseo exterior</t>
  </si>
  <si>
    <t>Zanjas sistema de riego</t>
  </si>
  <si>
    <t>Piscina</t>
  </si>
  <si>
    <t>Zanja para zapata corrida</t>
  </si>
  <si>
    <t>Zanja para pilares</t>
  </si>
  <si>
    <t>GTB020</t>
  </si>
  <si>
    <t>m³</t>
  </si>
  <si>
    <t>Canon de vertido por entrega de tierras</t>
  </si>
  <si>
    <t>Canon de vertido por entrega de tierras procedentes de la excavación, en vertedero específico, instalación de tratamiento de residuos de construcción y demolición externa a la obra o centro de valorización o eliminación de residuos.</t>
  </si>
  <si>
    <t>Uds.</t>
  </si>
  <si>
    <t>Largo</t>
  </si>
  <si>
    <t>Ancho</t>
  </si>
  <si>
    <t>Alto</t>
  </si>
  <si>
    <t>Parcial</t>
  </si>
  <si>
    <t>Subtotal</t>
  </si>
  <si>
    <t>Zanja saneamiento</t>
  </si>
  <si>
    <t>Zanja pluviales</t>
  </si>
  <si>
    <t>Pozo depuradora de oxidación total</t>
  </si>
  <si>
    <t>Separador de grasas 0.80 diametro x 1.50 altura</t>
  </si>
  <si>
    <t>Pozo estanco de 1.1m diametro</t>
  </si>
  <si>
    <t>Pozo drenante de 1.1m diametro</t>
  </si>
  <si>
    <t>Arqueta de decantación 60x60x90</t>
  </si>
  <si>
    <t>Zanja evacuacion aguas aseo exterior</t>
  </si>
  <si>
    <t>Zanjas sistema de riego</t>
  </si>
  <si>
    <t>Piscina</t>
  </si>
  <si>
    <t>Zanja para zapata corrida</t>
  </si>
  <si>
    <t>Zanja para pilares</t>
  </si>
  <si>
    <t>ADE010</t>
  </si>
  <si>
    <t>m³</t>
  </si>
  <si>
    <t>Excavación de zanjas para cimentaciones hasta una profundidad de</t>
  </si>
  <si>
    <t>Excavación de zanjas para cimentaciones hasta una profundidad de 2 m, en suelo de arcilla semidura, con medios mecánicos, y carga a camión.
Incluye: Replanteo general y fijación de los puntos y niveles de referencia. Colocación de las camillas en las esquinas y extremos de las alineaciones. Excavación en sucesivas franjas horizontales y extracción de tierras. Refinado de fondos y laterales a mano, con extracción de las tierras. Carga a camión de los materiales excavados.</t>
  </si>
  <si>
    <t>Uds.</t>
  </si>
  <si>
    <t>Largo</t>
  </si>
  <si>
    <t>Ancho</t>
  </si>
  <si>
    <t>Alto</t>
  </si>
  <si>
    <t>Parcial</t>
  </si>
  <si>
    <t>Subtotal</t>
  </si>
  <si>
    <t>Zanja para zapata corrida</t>
  </si>
  <si>
    <t>Zanja para pilares</t>
  </si>
  <si>
    <t>AS</t>
  </si>
  <si>
    <t>Red de saneamiento horizontal</t>
  </si>
  <si>
    <t>ASA010b</t>
  </si>
  <si>
    <t>Ud</t>
  </si>
  <si>
    <t>Arqueta decantadora prefabricada</t>
  </si>
  <si>
    <t>Arqueta decantadora enterrada, de PVC, con un cuerpo de Ø 315 mm, tres entradas (dos de Ø 160 mm y una de Ø 200 mm) y una salida de Ø 200 mm, sobre solera de hormigón en masa HM-20/B/20/X0 de 20 cm de espesor, con tapa prefabricada de PVC y cierre hermético al paso de los olores mefíticos.
Incluye: Replanteo. Vertido y compactación del hormigón en formación de solera. Colocación de la arqueta prefabricada. Empalme y rejuntado de los colectores a la arqueta. Colocación de la tapa y los accesorios. Comprobación de su correcto funcionamiento. Realización de pruebas de servicio.</t>
  </si>
  <si>
    <t>Uds.</t>
  </si>
  <si>
    <t>Largo</t>
  </si>
  <si>
    <t>Ancho</t>
  </si>
  <si>
    <t>Alto</t>
  </si>
  <si>
    <t>Parcial</t>
  </si>
  <si>
    <t>Subtotal</t>
  </si>
  <si>
    <t>Arqueta cerca pisicna</t>
  </si>
  <si>
    <t>ASC010f</t>
  </si>
  <si>
    <t>m</t>
  </si>
  <si>
    <t>Colector enterrado 110 mm</t>
  </si>
  <si>
    <t>Colector enterrado de red horizontal de saneamiento, sin arquetas, con una pendiente mínima del 2%, para la evacuación de aguas residuales y/o pluviales, formado por tubo de PVC liso, serie SN-4, rigidez anular nominal 4 kN/m², de 110 mm de diámetro exterior, con junta elástica, colocado sobre lecho de arena de 10 cm de espesor, debidamente compactada y nivelada con pisón vibrante de guiado manual, relleno lateral compactando hasta los riñones y posterior relleno con la misma arena hasta 30 cm por encima de la generatriz superior de la tubería. Incluso accesorios, registros, uniones, piezas especiales y lubricante para montaje.
Incluye: Replanteo y trazado del conducto en planta y pendientes. Presentación en seco de tubos y piezas especiales. Vertido de la arena en el fondo de la zanja. Descenso y colocación de los colectores en el fondo de la zanja. Montaje, conexionado y comprobación de su correcto funcionamiento. Ejecución del relleno envolvente. Realización de pruebas de servicio.</t>
  </si>
  <si>
    <t>Uds.</t>
  </si>
  <si>
    <t>Largo</t>
  </si>
  <si>
    <t>Ancho</t>
  </si>
  <si>
    <t>Alto</t>
  </si>
  <si>
    <t>Parcial</t>
  </si>
  <si>
    <t>Subtotal</t>
  </si>
  <si>
    <t>Derivación fregadero exterior</t>
  </si>
  <si>
    <t>Derivacion baños</t>
  </si>
  <si>
    <t>Derivación aseo exterior+cocina</t>
  </si>
  <si>
    <t>ASC010</t>
  </si>
  <si>
    <t>m</t>
  </si>
  <si>
    <t>Colector enterrado 125 mm</t>
  </si>
  <si>
    <t>Colector enterrado de red horizontal de saneamiento, sin arquetas,con una pendiente mínima del 2%, para la evacuación de aguas residuales y/o pluviales, formado por tubo de PVC liso, serie SN-4, rigidez anular nominal 4 kN/m², de 125 mm de diámetro exterior, con junta elástica, colocado sobre lecho de arena de 10 cm de espesor, debidamente compactada y nivelada con pisón vibrante de guiado manual, relleno lateral compactando hasta los riñones y posterior relleno con la misma arena hasta 30 cm por encima de la generatriz superior de la tubería. Incluso accesorios, registros, uniones, piezas especiales y lubricante para montaje.
Incluye: Replanteo y trazado del conducto en planta y pendientes. Presentación en seco de tubos y piezas especiales. Vertido de la arena en el fondo de la zanja. Descenso y colocación de los colectores en el fondo de la zanja. Montaje, conexionado y comprobación de su correcto funcionamiento. Ejecución del relleno envolvente. Realización de pruebas de servicio.</t>
  </si>
  <si>
    <t>Uds.</t>
  </si>
  <si>
    <t>Largo</t>
  </si>
  <si>
    <t>Ancho</t>
  </si>
  <si>
    <t>Alto</t>
  </si>
  <si>
    <t>Parcial</t>
  </si>
  <si>
    <t>Subtotal</t>
  </si>
  <si>
    <t>Tramos horizontales de Aguas Residuales y Pluviales</t>
  </si>
  <si>
    <t>0</t>
  </si>
  <si>
    <t>Conexion pozos separador depurador</t>
  </si>
  <si>
    <t>Colector baños cocina y lavadero</t>
  </si>
  <si>
    <t>Pluviales</t>
  </si>
  <si>
    <t>ASD020</t>
  </si>
  <si>
    <t>Ud</t>
  </si>
  <si>
    <t>Estación depuradora biológica</t>
  </si>
  <si>
    <t>Estación depuradora biológica de aguas residuales, tecnología VFL, capacidad para 3 a 6 usuarios (H.E.), carga media de materia orgánica contaminante (DBO5).</t>
  </si>
  <si>
    <t>AUP030</t>
  </si>
  <si>
    <t>Ud</t>
  </si>
  <si>
    <t>Pozo de infiltracion con geotextil</t>
  </si>
  <si>
    <t>Pozo de infiltración, de 1,5 m de profundidad y 1,20 m de diámetro exterior, con grava filtrante sin clasificar, envuelta en geotextil y compactación en tongadas sucesivas de 30 cm de espesor máximo con pisón de guiado manual.
Incluye: Colocación del geotextil. Extendido del material de relleno en tongadas de espesor uniforme. Compactación.</t>
  </si>
  <si>
    <t>AUP020</t>
  </si>
  <si>
    <t>Ud</t>
  </si>
  <si>
    <t>Pozo drenante de hormigón en masa</t>
  </si>
  <si>
    <t>Suministro y montaje de pozo drenante compuesto por elementos prefabricados de hormigón en masa, de 1,00 m de diámetro interior y de 1,5 m de altura útil interior, formado por: solera de 25 cm de espesor de hormigón armado HA-30/B/20/XC4+XA2 ligeramente armada con malla electrosoldada ME 20x20 Ø 8-8 B 500 T 6x2,20 UNE-EN 10080; cono asimétrico prefabricado de hormigón en masa, con unión rígida machihembrada con junta de goma, según UNE-EN 1917, de 100 a 60 cm de diámetro interior y 60 cm de altura, resistencia a compresión mayor de 250 kg/cm²; anillo prefabricado de hormigón en masa, con unión rígida machihembrada con junta de goma, según UNE-EN 1917, de 100 cm de diámetro interior y 50 cm de altura, resistencia a compresión mayor de 250 kg/cm²; relleno del trasdós del pozo con hormigón en masa HM-15/B/20/X0; con cierre de marco y tapa de fundición clase D-400 según UNE-EN 124, instalado en calzadas de calles, incluyendo las peatonales, o zonas de aparcamiento para todo tipo de vehículos. Incluso material para conexiones y remates, junta expansiva para sellado de juntas y material elastómero para ajuste entre tapa y marco.
Incluye: Replanteo. Colocación de la malla electrosoldada. Vertido y compactación del hormigón en formación de solera. Montaje. Formación del canal en el fondo del pozo. Ejecución de taladros para el conexionado de los colectores al pozo. Conexionado de los colectores al pozo. Sellado de juntas. Colocación de los pates. Vertido y compactación del hormigón en relleno del trasdós del pozo. Colocación de marco, tapa de registro y accesorios. Comprobación de su correcto funcionamiento.</t>
  </si>
  <si>
    <t>IUE</t>
  </si>
  <si>
    <t>Ud</t>
  </si>
  <si>
    <t>Separador de grasas de poliéster reforzado con fibra de vidrio (</t>
  </si>
  <si>
    <t>Separador de grasas de poliéster reforzado con fibra de vidrio (PRFV), rectangular, de 8 litros/s de caudal máximo de aguas grises, con boca de acceso, boca de entrada y boca de salida de 125 mm de diámetro.</t>
  </si>
  <si>
    <t>C</t>
  </si>
  <si>
    <t>Cimientos</t>
  </si>
  <si>
    <t>20.10</t>
  </si>
  <si>
    <t>Cimientos</t>
  </si>
  <si>
    <t>CAV010</t>
  </si>
  <si>
    <t>m³</t>
  </si>
  <si>
    <t>Viga de atado de hormigón armado, realizada con hormigón HA-25/B</t>
  </si>
  <si>
    <t>Viga de atado de hormigón armado, realizada con hormigón HA-25/B/20/XC2 fabricado en central, y vertido con cubilote, y acero UNE-EN 10080 B 500 S, con una cuantía aproximada de 60 kg/m³. Incluso alambre de atar, y separadores.</t>
  </si>
  <si>
    <t>Uds.</t>
  </si>
  <si>
    <t>Largo</t>
  </si>
  <si>
    <t>Ancho</t>
  </si>
  <si>
    <t>Alto</t>
  </si>
  <si>
    <t>Parcial</t>
  </si>
  <si>
    <t>Subtotal</t>
  </si>
  <si>
    <t>Viga de atado en cimentación</t>
  </si>
  <si>
    <t>CAV010B</t>
  </si>
  <si>
    <t>m³</t>
  </si>
  <si>
    <t>Viga centradora de hormigon armado, realizada con hormigón HA-25</t>
  </si>
  <si>
    <t>Viga centradora de hormigón armado, realizada con hormigón HA-25/B/20/XC2 fabricado en central, y vertido con cubilote, y acero UNE-EN 10080 B 500 S, con una cuantía aproximada de 60 kg/m³. Incluso alambre de atar, y separadores.</t>
  </si>
  <si>
    <t>Uds.</t>
  </si>
  <si>
    <t>Largo</t>
  </si>
  <si>
    <t>Ancho</t>
  </si>
  <si>
    <t>Alto</t>
  </si>
  <si>
    <t>Parcial</t>
  </si>
  <si>
    <t>Subtotal</t>
  </si>
  <si>
    <t>Viga en cimentacion</t>
  </si>
  <si>
    <t>CAV020</t>
  </si>
  <si>
    <t>m²</t>
  </si>
  <si>
    <t>Sistema de encofrado recuperable madera para vigas</t>
  </si>
  <si>
    <t>Montaje de sistema de encofrado recuperable de madera, para viga de atado, formado por tablones de madera, amortizables en 10 usos, y posterior desmontaje del sistema de encofrado. Incluso elementos de sustentación, fijación y acodalamientos necesarios para su estabilidad y líquido desencofrante, para evitar la adherencia del hormigón al encofrado.</t>
  </si>
  <si>
    <t>Uds.</t>
  </si>
  <si>
    <t>Largo</t>
  </si>
  <si>
    <t>Ancho</t>
  </si>
  <si>
    <t>Alto</t>
  </si>
  <si>
    <t>Parcial</t>
  </si>
  <si>
    <t>Subtotal</t>
  </si>
  <si>
    <t>encofrado vigas</t>
  </si>
  <si>
    <t>CSV010</t>
  </si>
  <si>
    <t>m³</t>
  </si>
  <si>
    <t>Zapata aislada de cimentacion de hormigon armado</t>
  </si>
  <si>
    <t>Zapata aislada de cimentación, de hormigón armado, realizada en excavación previa, con hormigón HA-25/B/20/XC2 fabricado en central, y vertido con cubilote, y acero UNE-EN 10080 B 500 S, con una cuantía aproximada de 100 kg/m³. Incluso armaduras de espera de los pilares u otros elementos, alambre de atar, y separadores.</t>
  </si>
  <si>
    <t>Uds.</t>
  </si>
  <si>
    <t>Largo</t>
  </si>
  <si>
    <t>Ancho</t>
  </si>
  <si>
    <t>Alto</t>
  </si>
  <si>
    <t>Parcial</t>
  </si>
  <si>
    <t>Subtotal</t>
  </si>
  <si>
    <t>zapata aislada</t>
  </si>
  <si>
    <t>CSV020</t>
  </si>
  <si>
    <t>m²</t>
  </si>
  <si>
    <t>Sistema de encofrado recuperable de madera para zapatas</t>
  </si>
  <si>
    <t>Montaje de sistema de encofrado recuperable de madera, para zapata aislada de cimentación de sección rectangular, formado por tablones de madera, amortizables en 2 usos, y posterior desmontaje del sistema de encofrado. Incluso elementos de sustentación, fijación y acodalamientos necesarios para su estabilidad y líquido desencofrante, para evitar la adherencia del hormigón al encofrado.
Incluye: Limpieza y preparación del plano de apoyo. Replanteo. Aplicación del líquido desencofrante. Montaje del sistema de encofrado. Colocación de elementos de sustentación, fijación y acodalamiento. Aplomado y nivelación del encofrado. Humectación del encofrado. Desmontaje del sistema de encofrado. Limpieza y almacenamiento del encofrado.</t>
  </si>
  <si>
    <t>Uds.</t>
  </si>
  <si>
    <t>Largo</t>
  </si>
  <si>
    <t>Ancho</t>
  </si>
  <si>
    <t>Alto</t>
  </si>
  <si>
    <t>Parcial</t>
  </si>
  <si>
    <t>Subtotal</t>
  </si>
  <si>
    <t>encofrado zapatas</t>
  </si>
  <si>
    <t>EAS005A</t>
  </si>
  <si>
    <t>Ud</t>
  </si>
  <si>
    <t>Placa de anclaje de acero 250 x 250 mm 25UNE-EN 10025 S275JR</t>
  </si>
  <si>
    <t>Placa de anclaje de acero UNE-EN 10025 S275JR en perfil plano, con taladro central biselado, de 250x250 mm y espesor 15 mm, con 4 pernos soldados, de acero corrugado UNE-EN 10080 B 500 S de 12 mm de diámetro y 50 cm de longitud total.
Incluye: Limpieza y preparación del plano de apoyo. Replanteo y marcado de los ejes. Colocación y fijación provisional de la placa. Aplomado y nivelación.</t>
  </si>
  <si>
    <t>Uds.</t>
  </si>
  <si>
    <t>Largo</t>
  </si>
  <si>
    <t>Ancho</t>
  </si>
  <si>
    <t>Alto</t>
  </si>
  <si>
    <t>Parcial</t>
  </si>
  <si>
    <t>Subtotal</t>
  </si>
  <si>
    <t>Ref pilares P1=P2=P3=P5=P6=P9=P12</t>
  </si>
  <si>
    <t>CHH005</t>
  </si>
  <si>
    <t>m³</t>
  </si>
  <si>
    <t>Hormigón HL-150/B/20, fabricado in situ</t>
  </si>
  <si>
    <t>Capa de hormigón de limpieza y nivelado de fondos de cimentación, de 10 cm de espesor, de hormigón HL-150/B/20, fabricado in situ y vertido en el fondo de la excavación previamente realizada.</t>
  </si>
  <si>
    <t>Uds.</t>
  </si>
  <si>
    <t>Largo</t>
  </si>
  <si>
    <t>Ancho</t>
  </si>
  <si>
    <t>Alto</t>
  </si>
  <si>
    <t>Parcial</t>
  </si>
  <si>
    <t>Subtotal</t>
  </si>
  <si>
    <t>Hormigon limpieza en zapatas y vigas</t>
  </si>
  <si>
    <t>AN</t>
  </si>
  <si>
    <t>Nivelación</t>
  </si>
  <si>
    <t>NGX010b</t>
  </si>
  <si>
    <t>m²</t>
  </si>
  <si>
    <t>Geotextil bajo encachado y para separar con terreno</t>
  </si>
  <si>
    <t>Suministro y colocación sobre el terreno de geotextil no tejido compuesto por fibras de polipropileno unidas por agujeteado, con una resistencia a la tracción longitudinal de 20,0 kN/m, una resistencia a la tracción transversal de 20,0 kN/m, una apertura de cono al ensayo de perforación dinámica según UNE-EN ISO 13433 inferior a 14,6 mm, resistencia CBR a punzonamiento 3,3 kN y una masa superficial de 260 g/m². Incluso cortes, fijaciones al terreno, resolución de solapes y uniones.
Incluye: Colocación del geotextil sobre el terreno. Resolución de solapes y uniones. Fijación del geotextil al terreno mediante grapas.</t>
  </si>
  <si>
    <t>Uds.</t>
  </si>
  <si>
    <t>Largo</t>
  </si>
  <si>
    <t>Ancho</t>
  </si>
  <si>
    <t>Alto</t>
  </si>
  <si>
    <t>Parcial</t>
  </si>
  <si>
    <t>Subtotal</t>
  </si>
  <si>
    <t>Solera aseo exterior</t>
  </si>
  <si>
    <t>Solera zona cesped actual</t>
  </si>
  <si>
    <t>Ampliación garage</t>
  </si>
  <si>
    <t>ANE010b</t>
  </si>
  <si>
    <t>m²</t>
  </si>
  <si>
    <t>Encachado en caja para base de solera de 20 cm de espesor.</t>
  </si>
  <si>
    <t>Encachado en caja para base de solera de 20 cm de espesor, mediante relleno y extendido en tongadas de espesor no superior a 20 cm de gravas procedentes de cantera granítica de 40/80 mm; y posterior compactación mediante equipo manual con bandeja vibrante, sobre la explanada homogénea y nivelada.
Incluye: Transporte y descarga del material de relleno a pie de tajo. Extendido del material de relleno en tongadas de espesor uniforme. Humectación o desecación de cada tongada. Compactación y nivelación.</t>
  </si>
  <si>
    <t>Uds.</t>
  </si>
  <si>
    <t>Largo</t>
  </si>
  <si>
    <t>Ancho</t>
  </si>
  <si>
    <t>Alto</t>
  </si>
  <si>
    <t>Parcial</t>
  </si>
  <si>
    <t>Subtotal</t>
  </si>
  <si>
    <t>Solera aseo exterior</t>
  </si>
  <si>
    <t>Solera zona cesped actual</t>
  </si>
  <si>
    <t>Ampliación garage</t>
  </si>
  <si>
    <t>NGL010b</t>
  </si>
  <si>
    <t>m²</t>
  </si>
  <si>
    <t>Lámina polietileno negro galga 600</t>
  </si>
  <si>
    <t>Lámina separadora de polietileno, de 0,15 mm de espesor y 150 g/m² de masa superficial, colocada sobre el terreno o sobre un encachado.
Incluye: Colocación de la lámina separadora. Resolución de solapes y uniones.</t>
  </si>
  <si>
    <t>Uds.</t>
  </si>
  <si>
    <t>Largo</t>
  </si>
  <si>
    <t>Ancho</t>
  </si>
  <si>
    <t>Alto</t>
  </si>
  <si>
    <t>Parcial</t>
  </si>
  <si>
    <t>Subtotal</t>
  </si>
  <si>
    <t>Solera aseo exterior</t>
  </si>
  <si>
    <t>Solera zona cesped actual</t>
  </si>
  <si>
    <t>Ampliación garage</t>
  </si>
  <si>
    <t>NAK010</t>
  </si>
  <si>
    <t>m²</t>
  </si>
  <si>
    <t>Aislamiento de solera.</t>
  </si>
  <si>
    <t>Aislamiento térmico horizontal de soleras en contacto con el terreno, formado por panel rígido de poliestireno extruido, de superficie lisa y mecanizado lateral a media madera, de 40 mm de espesor, resistencia a compresión &gt;= 300 kPa, resistencia térmica 1,2 m²K/W, conductividad térmica 0,033 W/(mK), colocado a tope en la base de la solera, simplemente apoyado, cubierto con film de polietileno de 0,2 mm de espesor, preparado para recibir una solera de hormigón. Incluso cinta autoadhesiva para sellado de juntas.</t>
  </si>
  <si>
    <t>Uds.</t>
  </si>
  <si>
    <t>Largo</t>
  </si>
  <si>
    <t>Ancho</t>
  </si>
  <si>
    <t>Alto</t>
  </si>
  <si>
    <t>Parcial</t>
  </si>
  <si>
    <t>Subtotal</t>
  </si>
  <si>
    <t>Solera aseo exterior</t>
  </si>
  <si>
    <t>ANS010b</t>
  </si>
  <si>
    <t>m²</t>
  </si>
  <si>
    <t>Solera de hormigón armado de 20 cm de espesor, malla electrosold</t>
  </si>
  <si>
    <t>Solera de hormigón con malla electrosoldada de 20 cm de espesor, para pavimento industrial o decorativo, realizada con hormigón HA-30/AC/12/XC3, fabricado en central, y vertido con bomba, con malla electrosoldada inferior, ME 20x20 Ø 6-6 B 500 T 6x2,20 UNE-EN 10080, con acabado superficial mediante fratasadora mecánica y posterior aplicación de agente filmógeno, (0,15 l/m²).
Incluye: Preparación de la superficie de apoyo del hormigón. Tendido de niveles mediante toques, maestras de hormigón o reglas. Riego de la superficie base. Colocación de la malla electrosoldada con separadores homologados. Vertido y extendido del hormigón. Conexión de los elementos exteriores. Aplicación del agente filmógeno. Fratasado mecánico de la superficie.</t>
  </si>
  <si>
    <t>Uds.</t>
  </si>
  <si>
    <t>Largo</t>
  </si>
  <si>
    <t>Ancho</t>
  </si>
  <si>
    <t>Alto</t>
  </si>
  <si>
    <t>Parcial</t>
  </si>
  <si>
    <t>Subtotal</t>
  </si>
  <si>
    <t>Solera aseo exterior</t>
  </si>
  <si>
    <t>Solera zona cesped actual</t>
  </si>
  <si>
    <t>Ampliación garage</t>
  </si>
  <si>
    <t>E</t>
  </si>
  <si>
    <t>Estructuras</t>
  </si>
  <si>
    <t>ES</t>
  </si>
  <si>
    <t>ESTRUCTURAS</t>
  </si>
  <si>
    <t>EHU010</t>
  </si>
  <si>
    <t>m²</t>
  </si>
  <si>
    <t>Forjado de hormigón horizontal viguetas prefabricadas</t>
  </si>
  <si>
    <t>Estructura de hormigón armado, realizada con hormigón HA-25/B/20/IIa fabricado en central, y vertido con bomba, con un volumen total de hormigón en forjado y vigas de 0,143 m³/m², y acero UNE-EN 10080 B 500 S en zona de refuerzo de negativos y conectores de viguetas y zunchos y vigas, con una cuantía total de 11 kg/m², constituida por: FORJADO UNIDIRECCIONAL: horizontal, de canto 30 = 25+5 cm;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semivigueta pretensada T-12; bovedilla de hormigón, 60x20x25 cm; capa de compresión de 5 cm de espesor, con armadura de reparto formada por malla electrosoldada ME 20x20 Ø 5-5 B 500 T 6x2,20 UNE-EN 10080; vigas planas; altura libre de planta de hasta 3 m.</t>
  </si>
  <si>
    <t>Uds.</t>
  </si>
  <si>
    <t>Largo</t>
  </si>
  <si>
    <t>Ancho</t>
  </si>
  <si>
    <t>Alto</t>
  </si>
  <si>
    <t>Parcial</t>
  </si>
  <si>
    <t>Subtotal</t>
  </si>
  <si>
    <t>Forjado sanitario</t>
  </si>
  <si>
    <t>Forjado primero</t>
  </si>
  <si>
    <t>Forjado cubierta</t>
  </si>
  <si>
    <t>EHU010B</t>
  </si>
  <si>
    <t>m²</t>
  </si>
  <si>
    <t>Forjado de hormigón inclinado, viguetas prefabricadas</t>
  </si>
  <si>
    <t>Estructura de hormigón armado, realizada con hormigón HA-25/F/20/XC2 fabricado en central, y vertido con cubilote, con un volumen total de hormigón en forjado y vigas de 0,143 m³/m², y acero UNE-EN 10080 B 500 S en zona de refuerzo de negativos y conectores de viguetas y zunchos y vigas, con una cuantía total de 11 kg/m², constituida por: FORJADO UNIDIRECCIONAL: inclinado, de canto 30 = 25+5 cm;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semivigueta pretensada T-12; bovedilla de hormigón, 60x20x25 cm; capa de compresión de 5 cm de espesor, con armadura de reparto formada por malla electrosoldada ME 20x20 Ø 5-5 B 500 T 6x2,20 UNE-EN 10080; vigas planas; altura libre de planta de hasta 3 m. Incluso agente filmógeno, para el curado de hormigones y morteros</t>
  </si>
  <si>
    <t>Uds.</t>
  </si>
  <si>
    <t>Largo</t>
  </si>
  <si>
    <t>Ancho</t>
  </si>
  <si>
    <t>Alto</t>
  </si>
  <si>
    <t>Parcial</t>
  </si>
  <si>
    <t>Subtotal</t>
  </si>
  <si>
    <t>Forjado paellero</t>
  </si>
  <si>
    <t>EAS005</t>
  </si>
  <si>
    <t>Ud</t>
  </si>
  <si>
    <t>Placa de anclaje pilares 200 x 300mm</t>
  </si>
  <si>
    <t>Placa de anclaje de acero UNE-EN 10025 S275JR en perfil plano, con taladro central biselado, de 200x300 mm y espesor 20 mm, con 4 pernos soldados, de acero corrugado UNE-EN 10080 B 500 S de 12 mm de diámetro y 50 cm de longitud total.
Incluye: Limpieza y preparación del plano de apoyo. Replanteo y marcado de los ejes. Colocación y fijación provisional de la placa. Aplomado y nivelación.</t>
  </si>
  <si>
    <t>Uds.</t>
  </si>
  <si>
    <t>Largo</t>
  </si>
  <si>
    <t>Ancho</t>
  </si>
  <si>
    <t>Alto</t>
  </si>
  <si>
    <t>Parcial</t>
  </si>
  <si>
    <t>Subtotal</t>
  </si>
  <si>
    <t>Forjado sanitario</t>
  </si>
  <si>
    <t>0</t>
  </si>
  <si>
    <t>Placa anlaje pilar metálico sobre muro bloque existente</t>
  </si>
  <si>
    <t>Forjado primero</t>
  </si>
  <si>
    <t>0</t>
  </si>
  <si>
    <t>Placa anclaje pilarmetálico sobre forjado existente</t>
  </si>
  <si>
    <t>EAS005B</t>
  </si>
  <si>
    <t>Ud</t>
  </si>
  <si>
    <t>Placa de anclaje zanca escalera 200 x 200 mm</t>
  </si>
  <si>
    <t>Placa de anclaje zanca escalera 200 x 200 mm</t>
  </si>
  <si>
    <t>Uds.</t>
  </si>
  <si>
    <t>Largo</t>
  </si>
  <si>
    <t>Ancho</t>
  </si>
  <si>
    <t>Alto</t>
  </si>
  <si>
    <t>Parcial</t>
  </si>
  <si>
    <t>Subtotal</t>
  </si>
  <si>
    <t>Fijacion zanca escalera sobre suelo de bloque forjado sabnitario</t>
  </si>
  <si>
    <t>Fijación zanca escalera a forjado primero</t>
  </si>
  <si>
    <t>EAE010</t>
  </si>
  <si>
    <t>ud</t>
  </si>
  <si>
    <t>Escalera con perfil zanca y peldaños escalera.</t>
  </si>
  <si>
    <t>Estructura para escalera metálica, realizada con dos zancas de perfil estructural, pintado al horno y con angulos perforados y soldados a ambos lados,  para el apoyo de los peldañeados ( peldaños no incluidos).</t>
  </si>
  <si>
    <t>EAS010</t>
  </si>
  <si>
    <t>kg</t>
  </si>
  <si>
    <t>Acero laminado para pilares</t>
  </si>
  <si>
    <t>Acero UNE-EN 10025 S275JR, en pilares formados por piezas compuestas de perfiles laminados en caliente de las series IPN, IPE, HEB, HEA, HEM o UPN, acabado con imprimación antioxidante, colocados con uniones soldadas en obra, a una altura de hasta 3 m.
Incluye: Limpieza y preparación del plano de apoyo. Replanteo y marcado de los ejes. Colocación y fijación provisional del pilar. Aplomado y nivelación. Ejecución de las uniones soldadas.</t>
  </si>
  <si>
    <t>Uds.</t>
  </si>
  <si>
    <t>Largo</t>
  </si>
  <si>
    <t>Ancho</t>
  </si>
  <si>
    <t>Alto</t>
  </si>
  <si>
    <t>Parcial</t>
  </si>
  <si>
    <t>Subtotal</t>
  </si>
  <si>
    <t>Kg de Acero en pilares forjado PB</t>
  </si>
  <si>
    <t>Kg de acero en Pilares forjado primero</t>
  </si>
  <si>
    <t>Kg de acero en pilares forjado cubierta</t>
  </si>
  <si>
    <t>EAZ010</t>
  </si>
  <si>
    <t>kg</t>
  </si>
  <si>
    <t>Acero laminado para crucetas metálicas</t>
  </si>
  <si>
    <t>Acero laminado UNE-EN 10025 S275JR, en pieza simple de perfiles laminados en caliente de las series IPN, IPE, HEB, HEA, HEM y UPN, acabado con imprimación antioxidante, conformando elementos de anclaje, trabajado en taller y fijado mecánicamente con tornillos de acero normalizados según UNE-EN ISO 898-1, para refuerzo estructural colocado a una altura de más de 3 m.
Incluye: Limpieza y preparación del plano de apoyo. Replanteo y marcado de los ejes. Colocación y fijación provisional del elemento. Nivelación y aplomado. Ejecución de los taladros. Ejecución de las uniones atornilladas.</t>
  </si>
  <si>
    <t>Uds.</t>
  </si>
  <si>
    <t>Largo</t>
  </si>
  <si>
    <t>Ancho</t>
  </si>
  <si>
    <t>Alto</t>
  </si>
  <si>
    <t>Parcial</t>
  </si>
  <si>
    <t>Subtotal</t>
  </si>
  <si>
    <t>crucetas en Pbaja</t>
  </si>
  <si>
    <t>Crucetas en PPrimera</t>
  </si>
  <si>
    <t>Crucetas en PCubierta</t>
  </si>
  <si>
    <t>FEA020b</t>
  </si>
  <si>
    <t>m²</t>
  </si>
  <si>
    <t>Muro de carga de bloque de 20cm</t>
  </si>
  <si>
    <t>Muro de carga de 20 cm de espesor de fábrica armada de bloque de hormigón, liso estándar, color gris, 40x20x20 cm, resistencia normalizada R10 (10 N/mm²), para revestir, con juntas horizontales y verticales de 10 mm de espesor, junta rehundida, recibida con mortero de cemento industrial, color gris, M-7,5, suministrado a granel, con piezas especiales tales como medios bloques, bloques de esquina y bloques en "U" en formación de zunchos horizontales y dinteles, reforzado con hormigón de relleno, HA-25/B/12/IIa, preparado en obra, vertido con medios manuales, volumen 0,015 m³/m², en dinteles, zunchos horizontales y zunchos verticales; y acero UNE-EN 10080 B 500 S, cuantía 0,6 kg/m²; armadura de tendel prefabricada de acero galvanizado en caliente con recubrimiento de resina epoxi, de 3,7 mm de diámetro y de 75 mm de anchura, rendimiento 2,45 m/m².</t>
  </si>
  <si>
    <t>Uds.</t>
  </si>
  <si>
    <t>Largo</t>
  </si>
  <si>
    <t>Ancho</t>
  </si>
  <si>
    <t>Alto</t>
  </si>
  <si>
    <t>Parcial</t>
  </si>
  <si>
    <t>Subtotal</t>
  </si>
  <si>
    <t>Muro soporte forjado sanitario</t>
  </si>
  <si>
    <t>F</t>
  </si>
  <si>
    <t>Fachadas y particiones</t>
  </si>
  <si>
    <t>FF</t>
  </si>
  <si>
    <t>Fábrica no estructural</t>
  </si>
  <si>
    <t>FFF010</t>
  </si>
  <si>
    <t>m²</t>
  </si>
  <si>
    <t>Fachada de una hoja, de 11,5 cm de espesor c/ ppal andamio</t>
  </si>
  <si>
    <t>Fachada de una hoja, de 11 cm de espesor, de fábrica de ladrillo hueco de 24x11.5x 11cm, para revestir, con juntas horizontales y verticales de 10 mm de espesor, recibida con mortero de cemento confeccionado en obra, con 250 kg/m³ de cemento, color gris, dosificación 1:6, suministrado en sacos. Revestimiento de los frentes de forjado con paneles de aislamiento térmico y de los frentes de pilares con ladrillos cortados, colocados con el mismo mortero utilizado en el recibido de la fábrica. Dintel realizado con una vigueta autorresistente de hormigón pretensado.
Incluye: Definición de los planos de fachada mediante plomos. Replanteo, planta a planta. Marcado en los pilares de los niveles de referencia general de planta y de nivel de pavimento. Preparación del mortero. Asiento de la primera hilada sobre capa de mortero. Colocación y aplomado de miras de referencia. Tendido de hilos entre miras. Colocación de plomos fijos en las aristas. Colocación de las piezas por hiladas a nivel. Realización de todos los trabajos necesarios para la resolución de los huecos. Encuentros de la fábrica con fachadas, pilares y tabiques. Encuentro de la fábrica con el forjado superior. Limpieza del paramento.</t>
  </si>
  <si>
    <t>Uds.</t>
  </si>
  <si>
    <t>Largo</t>
  </si>
  <si>
    <t>Ancho</t>
  </si>
  <si>
    <t>Alto</t>
  </si>
  <si>
    <t>Parcial</t>
  </si>
  <si>
    <t>Subtotal</t>
  </si>
  <si>
    <t>Planta baja</t>
  </si>
  <si>
    <t>0</t>
  </si>
  <si>
    <t>Muro cocina Oeste PB</t>
  </si>
  <si>
    <t>Muro cocina Sur PB</t>
  </si>
  <si>
    <t>Muro cocina Este PB</t>
  </si>
  <si>
    <t>Muro Salon Sur PB</t>
  </si>
  <si>
    <t>Muro escalera PB</t>
  </si>
  <si>
    <t>Muro aseo exterior</t>
  </si>
  <si>
    <t>Muro acceso Norte</t>
  </si>
  <si>
    <t>Planta primera</t>
  </si>
  <si>
    <t>0</t>
  </si>
  <si>
    <t>Muro Oeste P1</t>
  </si>
  <si>
    <t>Muro Sur P1</t>
  </si>
  <si>
    <t>Muro Este P1</t>
  </si>
  <si>
    <t>Muro Norte P1</t>
  </si>
  <si>
    <t>Antepecho cubierta</t>
  </si>
  <si>
    <t>RPE011c</t>
  </si>
  <si>
    <t>m²</t>
  </si>
  <si>
    <t>Enfoscado hidrofugo (interior fachada)</t>
  </si>
  <si>
    <t>Formación de revestimiento continuo de mortero de cemento, tipo GP CSIII W2, a buena vista, de 10 mm de espesor, aplicado sobre un paramento vertical interior, en el trasdós de la hoja exterior de fachada con cámara de aire, hasta 3 m de altura, acabado superficial rugoso. Incluso preparación de la superficie soporte, formación de juntas, rincones, maestras con separación entre ellas no superior a tres metros, remates en los encuentros con paramentos, revestimientos u otros elementos recibidos en su superficie.
Incluye: Despiece de paños de trabajo. Realización de maestras. Aplicación del mortero. Realización de juntas y encuentros. Acabado superficial. Curado del mortero.</t>
  </si>
  <si>
    <t>Uds.</t>
  </si>
  <si>
    <t>Largo</t>
  </si>
  <si>
    <t>Ancho</t>
  </si>
  <si>
    <t>Alto</t>
  </si>
  <si>
    <t>Parcial</t>
  </si>
  <si>
    <t>Subtotal</t>
  </si>
  <si>
    <t>Planta baja</t>
  </si>
  <si>
    <t>0</t>
  </si>
  <si>
    <t>Muro cocina Oeste PB</t>
  </si>
  <si>
    <t>Muro cocina Sur PB</t>
  </si>
  <si>
    <t>Muro cocina Este PB</t>
  </si>
  <si>
    <t>Muro Salon Sur PB</t>
  </si>
  <si>
    <t>Muro escalera PB</t>
  </si>
  <si>
    <t>Muro aseo exterior</t>
  </si>
  <si>
    <t>Muro acceso Norte</t>
  </si>
  <si>
    <t>Planta primera</t>
  </si>
  <si>
    <t>0</t>
  </si>
  <si>
    <t>Muro Oeste P1</t>
  </si>
  <si>
    <t>Muro Sur P1</t>
  </si>
  <si>
    <t>Muro Este P1</t>
  </si>
  <si>
    <t>Muro Norte P1</t>
  </si>
  <si>
    <t>Antepecho cubierta</t>
  </si>
  <si>
    <t>FFQ010</t>
  </si>
  <si>
    <t>m²</t>
  </si>
  <si>
    <t>Hoja de partición interior, de 9 cm de espesor, de fábrica de la</t>
  </si>
  <si>
    <t>Hoja de partición interior, de 9 cm de espesor, de fábrica de ladrillo cerámico hueco doble, para revestir, 24x11,5x9 cm, con juntas horizontales y verticales de 10 mm de espesor, recibida con mortero de cemento industrial, color gris, M-5, suministrado a granel.
Incluye: Replanteo y trazado en el forjado de los tabiques a realizar. Marcado en los pilares de los niveles de referencia general de planta y de nivel de pavimento. Colocación y aplomado de miras de referencia. Colocación, aplomado y nivelación de cercos y precercos de puertas y armarios. Tendido de hilos entre miras. Colocación de las piezas por hiladas a nivel. Recibido a la obra de cercos y precercos. Encuentros de la fábrica con fachadas, pilares y tabiques. Encuentro de la fábrica con el forjado superior. Limpieza del paramento.</t>
  </si>
  <si>
    <t>Uds.</t>
  </si>
  <si>
    <t>Largo</t>
  </si>
  <si>
    <t>Ancho</t>
  </si>
  <si>
    <t>Alto</t>
  </si>
  <si>
    <t>Parcial</t>
  </si>
  <si>
    <t>Subtotal</t>
  </si>
  <si>
    <t>Muro Oeste Aseo exterior sobre forjado sanitario</t>
  </si>
  <si>
    <t>Muro norte aseo exterior</t>
  </si>
  <si>
    <t>Muro nuevo Este Trastero</t>
  </si>
  <si>
    <t>NA</t>
  </si>
  <si>
    <t>Aislamientos térmicos</t>
  </si>
  <si>
    <t>NAJ011b</t>
  </si>
  <si>
    <t>ml</t>
  </si>
  <si>
    <t>Aislamiento frentes de forjado</t>
  </si>
  <si>
    <t>Aislamiento térmico de frentes de forjado , formado por panel rígido de poliestireno expandido, de superficie ranurada en forma de cola de milano y mecanizado lateral recto, de 30 mm de espesor y 30 mm de anchura, resistencia térmica 0,95 m²K/W, conductividad térmica 0,032 W/(mK), colocado a tope y clavado con puntas metálicas al encofrado de la estructura antes de hormigonar.</t>
  </si>
  <si>
    <t>Uds.</t>
  </si>
  <si>
    <t>Largo</t>
  </si>
  <si>
    <t>Ancho</t>
  </si>
  <si>
    <t>Alto</t>
  </si>
  <si>
    <t>Parcial</t>
  </si>
  <si>
    <t>Subtotal</t>
  </si>
  <si>
    <t>FORJADOS</t>
  </si>
  <si>
    <t>0</t>
  </si>
  <si>
    <t>Forjado 2 (Planta Primera)</t>
  </si>
  <si>
    <t>Forjado 3 (Planta Cubierta)</t>
  </si>
  <si>
    <t>FB</t>
  </si>
  <si>
    <t>Tabiquería de entramado autoportante</t>
  </si>
  <si>
    <t>FBY010</t>
  </si>
  <si>
    <t>m²</t>
  </si>
  <si>
    <t>Tabiqueria placa de yeso</t>
  </si>
  <si>
    <t>Tabique sencillo (15+70+15)/400 (70) LM - (2 normal), con placas de yeso laminado, de 100 mm de espesor total, con nivel de calidad del acabado estándar (Q2), formado por una estructura simple de perfiles de chapa de acero galvanizado de 70 mm de anchura, a base de montantes (elementos verticales) separados 400 mm entre sí, con disposición normal "N" y canales (elementos horizontales), a la que se atornillan dos placas en total (una placa tipo normal en cada cara, de 15 mm de espesor cada placa); aislamiento acústico mediante panel semirrígido de lana mineral, espesor 65 mm, según UNE-EN 13162, en el alma. Incluso banda acústica de dilatación autoadhesiva; fijaciones para el anclaje de canales y montantes metálicos; tornillería para la fijación de las placas; cinta de papel con refuerzo metálico y pasta y cinta para el tratamiento de juntas.
Incluye: Replanteo y trazado en el forjado inferior y en el superior de los tabiques a realizar.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para el cierre de una de las caras del tabique. Colocación de los paneles de lana mineral entre los montantes. Fijación de las placas para el cierre de la segunda cara del tabique. Replanteo de las cajas para alojamiento de mecanismos eléctricos y de paso de instalaciones, y posterior perforación de las placas. Tratamiento de juntas.</t>
  </si>
  <si>
    <t>Uds.</t>
  </si>
  <si>
    <t>Largo</t>
  </si>
  <si>
    <t>Ancho</t>
  </si>
  <si>
    <t>Alto</t>
  </si>
  <si>
    <t>Parcial</t>
  </si>
  <si>
    <t>Subtotal</t>
  </si>
  <si>
    <t>TAB. INTERIORES</t>
  </si>
  <si>
    <t>0</t>
  </si>
  <si>
    <t>Dormitorio 1</t>
  </si>
  <si>
    <t>Dormi ppal y vestidor P1</t>
  </si>
  <si>
    <t>Pasillo P1</t>
  </si>
  <si>
    <t>Dormi 3 P1</t>
  </si>
  <si>
    <t>FBY010B</t>
  </si>
  <si>
    <t>m²</t>
  </si>
  <si>
    <t>Taqbiqueria placa de yeso hidrofugado</t>
  </si>
  <si>
    <t>Tabique sencillo (15+70+15)/400 (70) LM - (2 hidrofugado), con placas de yeso laminado, de 100 mm de espesor total, con nivel de calidad del acabado estándar (Q2), formado por una estructura simple de perfiles de chapa de acero galvanizado de 70 mm de anchura, a base de montantes (elementos verticales) separados 400 mm entre sí, con disposición normal "N" y canales (elementos horizontales), a la que se atornillan dos placas en total (una placa tipo hidrofugado en cada cara, de 15 mm de espesor cada placa); aislamiento acústico mediante panel semirrígido de lana mineral, espesor 65 mm, según UNE-EN 13162, en el alma. Incluso banda acústica de dilatación autoadhesiva; fijaciones para el anclaje de canales y montantes metálicos; tornillería para la fijación de las placas; cinta de papel con refuerzo metálico y pasta y cinta para el tratamiento de juntas.
Incluye: Replanteo y trazado en el forjado inferior y en el superior de los tabiques a realizar.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para el cierre de una de las caras del tabique. Colocación de los paneles de lana mineral entre los montantes. Fijación de las placas para el cierre de la segunda cara del tabique. Replanteo de las cajas para alojamiento de mecanismos eléctricos y de paso de instalaciones, y posterior perforación de las placas. Tratamiento de juntas.</t>
  </si>
  <si>
    <t>Uds.</t>
  </si>
  <si>
    <t>Largo</t>
  </si>
  <si>
    <t>Ancho</t>
  </si>
  <si>
    <t>Alto</t>
  </si>
  <si>
    <t>Parcial</t>
  </si>
  <si>
    <t>Subtotal</t>
  </si>
  <si>
    <t>Baño PB</t>
  </si>
  <si>
    <t>Baños P1</t>
  </si>
  <si>
    <t>RR</t>
  </si>
  <si>
    <t>Trasdosados</t>
  </si>
  <si>
    <t>E023</t>
  </si>
  <si>
    <t>m²</t>
  </si>
  <si>
    <t>Trasdosados de placas de yeso laminado</t>
  </si>
  <si>
    <t>Trasdosado autoportante libre, con resistencia al fuego EI 20, de 63 mm de espesor, con nivel de calidad del acabado Q2, formado por placa de yeso laminado tipo cortafuego de 15 mm de espesor, atornillada directamente a una estructura autoportante de acero galvanizado formada por canales horizontales, sólidamente fijados al suelo y al techo y montantes verticales de 48 mm y 0,6 mm de espesor con una modulación de 600 mm y con disposición normal "N", montados sobre canales junto al paramento vertical. Incluso banda acústica; fijaciones para el anclaje de canales y montantes metálicos; tornillería para la fijación de las placas; cinta de papel con refuerzo metálico y pasta y cinta para el tratamiento de juntas. 
INCLUSO AISLAMIENTO TERMICO continuo formado por panel rígido de poliestireno expandido, de superficie lisa y mecanizado lateral recto, de 10 mm de espesor, resistencia térmica 0,35 m²K/W, conductividad térmica 0,029 W/(mK), colocado a tope y fijado mecánicamente a la fábrica
Incluye: Replanteo y trazado en el forjado inferior y en el superior de los perfiles.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Replanteo de las cajas para alojamiento de mecanismos eléctricos y de paso de instalaciones, y posterior perforación de las placas. Tratamiento de juntas.</t>
  </si>
  <si>
    <t>Uds.</t>
  </si>
  <si>
    <t>Largo</t>
  </si>
  <si>
    <t>Ancho</t>
  </si>
  <si>
    <t>Alto</t>
  </si>
  <si>
    <t>Parcial</t>
  </si>
  <si>
    <t>Subtotal</t>
  </si>
  <si>
    <t>Planta baja</t>
  </si>
  <si>
    <t>Planta Primera</t>
  </si>
  <si>
    <t>L</t>
  </si>
  <si>
    <t>Carpintería, cerrajería, vidrios y protecciones solares</t>
  </si>
  <si>
    <t>LA</t>
  </si>
  <si>
    <t>Armarios</t>
  </si>
  <si>
    <t>LAH010</t>
  </si>
  <si>
    <t>m</t>
  </si>
  <si>
    <t>Hoja armario fondo 60-50 empotrado según memoria.</t>
  </si>
  <si>
    <t>Conjunto de armario formado por:
- Frente de armario con  puertas lisas abatibles formadas con tableros  de mdf, con hojas de diemnsiones entre  40/50cm y 2.10m de altura 19mm de espesor, lacadas en blanco mate.
Interior armario forrado con modilos de melamina lino.Tirador integrado a definir por DF. Balda superios y barra de colgar.</t>
  </si>
  <si>
    <t>Uds.</t>
  </si>
  <si>
    <t>Largo</t>
  </si>
  <si>
    <t>Ancho</t>
  </si>
  <si>
    <t>Alto</t>
  </si>
  <si>
    <t>Parcial</t>
  </si>
  <si>
    <t>Subtotal</t>
  </si>
  <si>
    <t>Dormi 1</t>
  </si>
  <si>
    <t>Dormi 2</t>
  </si>
  <si>
    <t>Salon</t>
  </si>
  <si>
    <t>Dormi 3</t>
  </si>
  <si>
    <t>Vestidor</t>
  </si>
  <si>
    <t>LC</t>
  </si>
  <si>
    <t>Carpintería Exterior</t>
  </si>
  <si>
    <t>LCL060g</t>
  </si>
  <si>
    <t>Ud</t>
  </si>
  <si>
    <t>Carpintería una hoja fija 1200x1900 mm (V1)</t>
  </si>
  <si>
    <t>FIJO DE 1 HUECO DE MEDIDAS: 120,0 x 190,0
EN COLOR L.VARIOS 8007
PERFILERÍA: PRACTICABLE V-94
AISLAGLASLAM. 3+3.1 TRANS./8/VIDRIO 4MM GUARDIAN SUN
CANTO PULIDO VIDRIO 1: 3+3mm de 2 a 4mt</t>
  </si>
  <si>
    <t>Uds.</t>
  </si>
  <si>
    <t>Largo</t>
  </si>
  <si>
    <t>Ancho</t>
  </si>
  <si>
    <t>Alto</t>
  </si>
  <si>
    <t>Parcial</t>
  </si>
  <si>
    <t>Subtotal</t>
  </si>
  <si>
    <t>Acceso PB</t>
  </si>
  <si>
    <t>0</t>
  </si>
  <si>
    <t>V1</t>
  </si>
  <si>
    <t>LCL060h</t>
  </si>
  <si>
    <t>Ud</t>
  </si>
  <si>
    <t>Carpintería dos hojas correderas 3400x2400 mm (PB1)</t>
  </si>
  <si>
    <t>CORREDERA MINIMALISTA MARCO PERIMETRAL DE MEDIDAS: 340,0 x 240,0
EN COLOR L.VARIOS 8007
PERFILERÍA: GS-82-PERIMETRAL RPT
AISLAGLASLAM. 3+3.1 TRANS./12/VIDRIO 6MM GUARDIAN SUN
CANTO PULIDO VIDRIO 1: 3+3mm de mas4mt
CANTO PULIDO VIDRIO 2: 6mm de mas4mt</t>
  </si>
  <si>
    <t>Uds.</t>
  </si>
  <si>
    <t>Largo</t>
  </si>
  <si>
    <t>Ancho</t>
  </si>
  <si>
    <t>Alto</t>
  </si>
  <si>
    <t>Parcial</t>
  </si>
  <si>
    <t>Subtotal</t>
  </si>
  <si>
    <t>Salon PB</t>
  </si>
  <si>
    <t>0</t>
  </si>
  <si>
    <t>PB1</t>
  </si>
  <si>
    <t>LCL060b</t>
  </si>
  <si>
    <t>Ud</t>
  </si>
  <si>
    <t>Carpintería dos hojas correderas 2400 x 1600mm (PB2)</t>
  </si>
  <si>
    <t>CORREDERA MINIMALISTA MARCO PERIMETRAL DE MEDIDAS: 160,0 x 240,0
EN COLOR L.VARIOS 8007
PERFILERÍA: GS-82-PERIMETRAL RPT
AISLAGLASLAM. 3+3.1 TRANS./12/VIDRIO 6MM GUARDIAN SUN
CANTO PULIDO VIDRIO 1: 3+3mm de mas4mt
CANTO PULIDO VIDRIO 2: 6mm de mas4mt</t>
  </si>
  <si>
    <t>Uds.</t>
  </si>
  <si>
    <t>Largo</t>
  </si>
  <si>
    <t>Ancho</t>
  </si>
  <si>
    <t>Alto</t>
  </si>
  <si>
    <t>Parcial</t>
  </si>
  <si>
    <t>Subtotal</t>
  </si>
  <si>
    <t>Corredera Cocina PB</t>
  </si>
  <si>
    <t>0</t>
  </si>
  <si>
    <t>PB2</t>
  </si>
  <si>
    <t>LCL060n</t>
  </si>
  <si>
    <t>Ud</t>
  </si>
  <si>
    <t>Carpintería dos hojas correderas 1900x1100 m (V2)</t>
  </si>
  <si>
    <t>CORREDERA MINIMALISTA MARCO PERIMETRAL DE MEDIDAS: 190,0 x 110,0
EN COLOR L.VARIOS 8007
PERFILERÍA: GS-82-PERIMETRAL RPT
AISLAGLAS4/16/VIDRIO 4MM GUARDIAN SUN</t>
  </si>
  <si>
    <t>Uds.</t>
  </si>
  <si>
    <t>Largo</t>
  </si>
  <si>
    <t>Ancho</t>
  </si>
  <si>
    <t>Alto</t>
  </si>
  <si>
    <t>Parcial</t>
  </si>
  <si>
    <t>Subtotal</t>
  </si>
  <si>
    <t>Ventana Cocina PB</t>
  </si>
  <si>
    <t>0</t>
  </si>
  <si>
    <t>V2</t>
  </si>
  <si>
    <t>LCL060o</t>
  </si>
  <si>
    <t>Ud</t>
  </si>
  <si>
    <t>Carpintería fijo mas abatible 1500x2200 mm (PB3)</t>
  </si>
  <si>
    <t>PUERTA BALCONERA ABATIBLE DE UNA HOJA CON FIJO LATERAL DE MEDIDAS: 150,0 x
220,0. FIJO LATERAL: 45,0
EN COLOR L.VARIOS 8007
PERFILERÍA: PRACTICABLE V-94
AISLAGLASLAM. 3+3.1 TRANS./8/VIDRIO 4MM GUARDIAN SUN
CANTO PULIDO VIDRIO 1: 3+3mm hasta 2mt
CANTO PULIDO VIDRIO 2: 4mm hasta 2mt</t>
  </si>
  <si>
    <t>Uds.</t>
  </si>
  <si>
    <t>Largo</t>
  </si>
  <si>
    <t>Ancho</t>
  </si>
  <si>
    <t>Alto</t>
  </si>
  <si>
    <t>Parcial</t>
  </si>
  <si>
    <t>Subtotal</t>
  </si>
  <si>
    <t>Corredera comedor PB</t>
  </si>
  <si>
    <t>0</t>
  </si>
  <si>
    <t>PB3</t>
  </si>
  <si>
    <t>LCL060i</t>
  </si>
  <si>
    <t>Ud</t>
  </si>
  <si>
    <t>Carpintería oscilobatiente, 600x1100 mm (V3)</t>
  </si>
  <si>
    <t>VENTANA OSCILOBATIENTE DE UNA HOJA DE MEDIDAS: 60,0 x 110,0
EN COLOR L.VARIOS 8007
PERFILERÍA: PRACTICABLE V-94
AISLAGLASMATE 4 MM/10/VIDRIO 4MM GUARDIAN SUN</t>
  </si>
  <si>
    <t>Uds.</t>
  </si>
  <si>
    <t>Largo</t>
  </si>
  <si>
    <t>Ancho</t>
  </si>
  <si>
    <t>Alto</t>
  </si>
  <si>
    <t>Parcial</t>
  </si>
  <si>
    <t>Subtotal</t>
  </si>
  <si>
    <t>Baño 1 PB</t>
  </si>
  <si>
    <t>0</t>
  </si>
  <si>
    <t>V3</t>
  </si>
  <si>
    <t>LCL060e</t>
  </si>
  <si>
    <t>Ud</t>
  </si>
  <si>
    <t>Carpintería dos hojas correderas con persiana 1400x1100 mm (V4)</t>
  </si>
  <si>
    <t>VENTANA CORREDERA PERIMETRAL DE DOS HOJAS DE MEDIDAS: 140,0 x 125,5
EN COLOR L.VARIOS 8007
PERFILERÍA: PERIMETRAL C-70
AISLAGLAS4/12/VIDRIO 4MM GUARDIAN SUN CAJON DE PVC LAMA DE ALUMINIO 155
ACCIONAMIENTO: Motor Sencillo JM-10RH</t>
  </si>
  <si>
    <t>Uds.</t>
  </si>
  <si>
    <t>Largo</t>
  </si>
  <si>
    <t>Ancho</t>
  </si>
  <si>
    <t>Alto</t>
  </si>
  <si>
    <t>Parcial</t>
  </si>
  <si>
    <t>Subtotal</t>
  </si>
  <si>
    <t>Dormitorios PB</t>
  </si>
  <si>
    <t>0</t>
  </si>
  <si>
    <t>V4</t>
  </si>
  <si>
    <t>LCL060j</t>
  </si>
  <si>
    <t>Ud</t>
  </si>
  <si>
    <t>Carpintería oscilobatiente con persiana 400x1950 mm (V5)</t>
  </si>
  <si>
    <t>VENTANA ABATIBLE DE 1 HOJA DE MEDIDAS: 40,0 x 213,5
EN COLOR L.VARIOS 8007
PERFILERÍA: PRACTICABLE V-94
AISLAGLAS4/12/VIDRIO 4MM GUARDIAN SUN CAJON DE PVC LAMA DE ALUMINIO 185
ACCIONAMIENTO: recojedor embutido
Con 7 puntos de cierre</t>
  </si>
  <si>
    <t>Uds.</t>
  </si>
  <si>
    <t>Largo</t>
  </si>
  <si>
    <t>Ancho</t>
  </si>
  <si>
    <t>Alto</t>
  </si>
  <si>
    <t>Parcial</t>
  </si>
  <si>
    <t>Subtotal</t>
  </si>
  <si>
    <t>Dormitorios PB</t>
  </si>
  <si>
    <t>0</t>
  </si>
  <si>
    <t>V5</t>
  </si>
  <si>
    <t>LCL060f</t>
  </si>
  <si>
    <t>Ud</t>
  </si>
  <si>
    <t>Carpintería una hoija abatible ap inferior 2000x500 mm (V6)</t>
  </si>
  <si>
    <t>VENTANA ABATIBLE AP. INFERIOR (PROYECTADA) DE MEDIDAS: 200,0 x 50,0
EN COLOR L.VARIOS 8007
PERFILERÍA: PRACTICABLE V-94
AISLAGLASLAM. 3+3.1 TRANS./8/VIDRIO 4MM GUARDIAN SUN
CANTO PULIDO VIDRIO 1: 3+3mm hasta 2mt
CANTO PULIDO VIDRIO 2: 4mm hasta 2mt</t>
  </si>
  <si>
    <t>Uds.</t>
  </si>
  <si>
    <t>Largo</t>
  </si>
  <si>
    <t>Ancho</t>
  </si>
  <si>
    <t>Alto</t>
  </si>
  <si>
    <t>Parcial</t>
  </si>
  <si>
    <t>Subtotal</t>
  </si>
  <si>
    <t>Escalera</t>
  </si>
  <si>
    <t>0</t>
  </si>
  <si>
    <t>V6</t>
  </si>
  <si>
    <t>LCP060K</t>
  </si>
  <si>
    <t>Ud</t>
  </si>
  <si>
    <t>Carpintería oscilobatiente, 750 x 2300 mm (V7a)</t>
  </si>
  <si>
    <t>VENTANA OSCILOBATIENTE DE UNA HOJA DE MEDIDAS: 75,0 x 230,0
EN COLOR L.VARIOS 8007
PERFILERÍA: PRACTICABLE V-94
AISLAGLAS4/10/VIDRIO 4MM GUARDIAN SUN</t>
  </si>
  <si>
    <t>Uds.</t>
  </si>
  <si>
    <t>Largo</t>
  </si>
  <si>
    <t>Ancho</t>
  </si>
  <si>
    <t>Alto</t>
  </si>
  <si>
    <t>Parcial</t>
  </si>
  <si>
    <t>Subtotal</t>
  </si>
  <si>
    <t>Despacho P1</t>
  </si>
  <si>
    <t>0</t>
  </si>
  <si>
    <t>V7</t>
  </si>
  <si>
    <t>LCP060K2</t>
  </si>
  <si>
    <t>Ud</t>
  </si>
  <si>
    <t>Carpinteria oscilobatiente, 750 x 2300 mm con persiana (V7b)</t>
  </si>
  <si>
    <t>VENTANA OSCILOBATIENTE DE UNA HOJA DE MEDIDAS: 75,0 x 248,5
EN COLOR L.VARIOS 8007
PERFILERÍA: PRACTICABLE V-94
AISLAGLAS4/10/VIDRIO 4MM GUARDIAN SUN CAJON DE PVC LAMA DE ALUMINIO 185
ACCIONAMIENTO: Motor Sencillo JM-10RH</t>
  </si>
  <si>
    <t>Uds.</t>
  </si>
  <si>
    <t>Largo</t>
  </si>
  <si>
    <t>Ancho</t>
  </si>
  <si>
    <t>Alto</t>
  </si>
  <si>
    <t>Parcial</t>
  </si>
  <si>
    <t>Subtotal</t>
  </si>
  <si>
    <t>Dormi ppal P1</t>
  </si>
  <si>
    <t>0</t>
  </si>
  <si>
    <t>V7-b</t>
  </si>
  <si>
    <t>LCP060L</t>
  </si>
  <si>
    <t>Ud</t>
  </si>
  <si>
    <t>Carpintería dos hojas correderas 4000 x 2400 mm (PB 4)</t>
  </si>
  <si>
    <t>CORREDERA MINIMALISTA MARCO PERIMETRAL DE MEDIDAS: 400,0 x 240,0
EN COLOR L.VARIOS 8007
PERFILERÍA: GS-82-PERIMETRAL RPT
AISLAGLASLAM. 3+3.1 TRANS./12/VIDRIO 6MM GUARDIAN SUN
CANTO PULIDO VIDRIO 1: 3+3mm de mas4mt
CANTO PULIDO VIDRIO 2: 6mm de mas4mt</t>
  </si>
  <si>
    <t>Uds.</t>
  </si>
  <si>
    <t>Largo</t>
  </si>
  <si>
    <t>Ancho</t>
  </si>
  <si>
    <t>Alto</t>
  </si>
  <si>
    <t>Parcial</t>
  </si>
  <si>
    <t>Subtotal</t>
  </si>
  <si>
    <t>Despacho P1</t>
  </si>
  <si>
    <t>0</t>
  </si>
  <si>
    <t>PB4</t>
  </si>
  <si>
    <t>LCP060M</t>
  </si>
  <si>
    <t>Ud</t>
  </si>
  <si>
    <t>Carpinteria dos hojas correderas con persiana 3000 x 2400mm(PB5)</t>
  </si>
  <si>
    <t>ORREDERA MINIMALISTA MARCO PERIMETRAL DE MEDIDAS: 300,0 x 258,5
EN COLOR L.VARIOS 8007
PERFILERÍA: GS-82-PERIMETRAL RPT
AISLAGLASLAM. 3+3.1 TRANS./12/VIDRIO 6MM GUARDIAN SUN CAJON DE PVC LAMA DE
ALUMINIO 185
GUÍA CENTRAL: SI
ACCIONAMIENTO: Motor Sencillo JM-10RH 2-unidades
CANTO PULIDO VIDRIO 1: 3+3mm de 2 a 4mt
CANTO PULIDO VIDRIO 2: 6mm de 2 a 4mt</t>
  </si>
  <si>
    <t>Uds.</t>
  </si>
  <si>
    <t>Largo</t>
  </si>
  <si>
    <t>Ancho</t>
  </si>
  <si>
    <t>Alto</t>
  </si>
  <si>
    <t>Parcial</t>
  </si>
  <si>
    <t>Subtotal</t>
  </si>
  <si>
    <t>Dormi ppal P1</t>
  </si>
  <si>
    <t>0</t>
  </si>
  <si>
    <t>PB5</t>
  </si>
  <si>
    <t>LCP060N</t>
  </si>
  <si>
    <t>Ud</t>
  </si>
  <si>
    <t>Carpinteria abatible una hoja ap inferior 1500 x 1400 mm (V8)</t>
  </si>
  <si>
    <t>ORREDERA MINIMALISTA MARCO PERIMETRAL DE MEDIDAS: 300,0 x 258,5
EN COLOR L.VARIOS 8007
PERFILERÍA: GS-82-PERIMETRAL RPT
AISLAGLASLAM. 3+3.1 TRANS./12/VIDRIO 6MM GUARDIAN SUN CAJON DE PVC LAMA DE
ALUMINIO 185
GUÍA CENTRAL: SI
ACCIONAMIENTO: Motor Sencillo JM-10RH 2-unidades
CANTO PULIDO VIDRIO 1: 3+3mm de 2 a 4mt
CANTO PULIDO VIDRIO 2: 6mm de 2 a 4mt</t>
  </si>
  <si>
    <t>Uds.</t>
  </si>
  <si>
    <t>Largo</t>
  </si>
  <si>
    <t>Ancho</t>
  </si>
  <si>
    <t>Alto</t>
  </si>
  <si>
    <t>Parcial</t>
  </si>
  <si>
    <t>Subtotal</t>
  </si>
  <si>
    <t>Vestidor P1</t>
  </si>
  <si>
    <t>0</t>
  </si>
  <si>
    <t>V8</t>
  </si>
  <si>
    <t>LCP060O</t>
  </si>
  <si>
    <t>Ud</t>
  </si>
  <si>
    <t>Carpinteria dos hojas correderas 1600 x 600 mm (V9)</t>
  </si>
  <si>
    <t>VENTANA CORREDERA PERIMETRAL DE DOS HOJAS DE MEDIDAS: 160,0 x 60,0
EN COLOR L.VARIOS 8007
PERFILERÍA: PERIMETRAL C-70
AISLAGLAS4/12/VIDRIO 4MM GUARDIAN SUN</t>
  </si>
  <si>
    <t>Uds.</t>
  </si>
  <si>
    <t>Largo</t>
  </si>
  <si>
    <t>Ancho</t>
  </si>
  <si>
    <t>Alto</t>
  </si>
  <si>
    <t>Parcial</t>
  </si>
  <si>
    <t>Subtotal</t>
  </si>
  <si>
    <t>Baño ppal P1</t>
  </si>
  <si>
    <t>0</t>
  </si>
  <si>
    <t>V9</t>
  </si>
  <si>
    <t>LCP060P</t>
  </si>
  <si>
    <t>Ud</t>
  </si>
  <si>
    <t>Carpinteria oscilobatiente una hoja 800 x 1200 mm (V10)</t>
  </si>
  <si>
    <t>VENTANA OSCILOBATIENTE DE UNA HOJA DE MEDIDAS: 80,0 x 120,0
EN COLOR L.VARIOS 8007
PERFILERÍA: PRACTICABLE V-94
AISLAGLASMATE 4 MM/10/VIDRIO 4MM GUARDIAN SUN</t>
  </si>
  <si>
    <t>Uds.</t>
  </si>
  <si>
    <t>Largo</t>
  </si>
  <si>
    <t>Ancho</t>
  </si>
  <si>
    <t>Alto</t>
  </si>
  <si>
    <t>Parcial</t>
  </si>
  <si>
    <t>Subtotal</t>
  </si>
  <si>
    <t>Baño 2 P1</t>
  </si>
  <si>
    <t>0</t>
  </si>
  <si>
    <t>V10</t>
  </si>
  <si>
    <t>LCP060Q</t>
  </si>
  <si>
    <t>Ud</t>
  </si>
  <si>
    <t>Carpinteria oscilobatiente una hoja con pers 1000 x 1200 mm(V11)</t>
  </si>
  <si>
    <t>VENTANA OSCILOBATIENTE DE UNA HOJA DE MEDIDAS: 100,0 x 145,5
EN COLOR L.VARIOS 8007
PERFILERÍA: PRACTICABLE V-94
AISLAGLAS4/10/VIDRIO 4MM GUARDIAN SUN CAJON DE PVC LAMA DE ALUMINIO 155
ACCIONAMIENTO: Motor Sencillo JM-10RH</t>
  </si>
  <si>
    <t>Uds.</t>
  </si>
  <si>
    <t>Largo</t>
  </si>
  <si>
    <t>Ancho</t>
  </si>
  <si>
    <t>Alto</t>
  </si>
  <si>
    <t>Parcial</t>
  </si>
  <si>
    <t>Subtotal</t>
  </si>
  <si>
    <t>Dormitorio 3 P1</t>
  </si>
  <si>
    <t>0</t>
  </si>
  <si>
    <t>V11</t>
  </si>
  <si>
    <t>LCP060R</t>
  </si>
  <si>
    <t>Ud</t>
  </si>
  <si>
    <t>Carpinteria dos hojas correderas con persia 1400 x 1300mm (V12)</t>
  </si>
  <si>
    <t>VENTANA CORREDERA PERIMETRAL DE DOS HOJAS DE MEDIDAS: 140,0 x 145,5
EN COLOR L.VARIOS 8007
PERFILERÍA: PERIMETRAL C-70
AISLAGLAS4/12/VIDRIO 4MM GUARDIAN SUN CAJON DE PVC LAMA DE ALUMINIO 155
ACCIONAMIENTO: Motor Sencillo JM-10RH</t>
  </si>
  <si>
    <t>Uds.</t>
  </si>
  <si>
    <t>Largo</t>
  </si>
  <si>
    <t>Ancho</t>
  </si>
  <si>
    <t>Alto</t>
  </si>
  <si>
    <t>Parcial</t>
  </si>
  <si>
    <t>Subtotal</t>
  </si>
  <si>
    <t>Dormitorio 3 P1</t>
  </si>
  <si>
    <t>0</t>
  </si>
  <si>
    <t>V12</t>
  </si>
  <si>
    <t>LE</t>
  </si>
  <si>
    <t>Puertas de entrada a vivienda</t>
  </si>
  <si>
    <t>LEM010</t>
  </si>
  <si>
    <t>Ud</t>
  </si>
  <si>
    <t>Puerta exterior de entrada de 2.50x1.50 m</t>
  </si>
  <si>
    <t>Puerta de entrada interior abatible con fijo lateral y superior, de medida total 1.50m x2.50m, acabado RAL 8014 texturizado, con cerradura de tres puntos ,tirador exterior redondo,  manilla interior y bocallaves en color negro mate.Cerradura GU automática al cierre sin motorizar. Incluye premarco para falcar en obra.</t>
  </si>
  <si>
    <t>Uds.</t>
  </si>
  <si>
    <t>Largo</t>
  </si>
  <si>
    <t>Ancho</t>
  </si>
  <si>
    <t>Alto</t>
  </si>
  <si>
    <t>Parcial</t>
  </si>
  <si>
    <t>Subtotal</t>
  </si>
  <si>
    <t>Puerta entrada a vivienda</t>
  </si>
  <si>
    <t>PC</t>
  </si>
  <si>
    <t>Ud</t>
  </si>
  <si>
    <t>Puerta Cancela</t>
  </si>
  <si>
    <t>Suministro y montaje de puerta cancela peatonal lisa formada por hoja y fijo lateral  con medidas totales 1500x2000 (1000x2000 la hoja y 500x2000 el fijo), fabricadas con bastidor de perfileria de hierro galvanizado con cegado en ambas caras con chapa de hierro galvanizado de 3mm. Incluso cerradura automatica, tirador metalico, y lacado al horno en color ral a definir.</t>
  </si>
  <si>
    <t>PG</t>
  </si>
  <si>
    <t>Ud</t>
  </si>
  <si>
    <t>Puerta de garage</t>
  </si>
  <si>
    <t>Suministro y montaje de puerta cancela vehiculos corredera lisa formada por hoja con medidas totales 4000x2000 (1000x2000 la hoja y 500x2000 el fijo), fabricadas con bastidor de perfileria de hierro galvanizado con cegado en ambas caras con chapa de hierro
galvanizado de 3mm. Incluso pilar de rodamientos, guia para empotrar, motor de accionamiento, dos mandos a distancia, y lacado al horno en color ral a definir.</t>
  </si>
  <si>
    <t>LP</t>
  </si>
  <si>
    <t>Puertas interiores</t>
  </si>
  <si>
    <t>LPM010c</t>
  </si>
  <si>
    <t>Ud</t>
  </si>
  <si>
    <t>Puerta interior abatible, ciega, de una hoja de 210x72,5x3,5 cm.</t>
  </si>
  <si>
    <t>Puerta interior abatible, ciega, de una hoja lisa de 210x72,5x3,5 cm, de tablero aglomerado lacada en blanco. Incluso, bisagras, herrajes de colgar, de cierre y manivela sobre escudo largo de latón, color negro, serie básica.
Incluye: Presentación de la puerta. Colocación de los herrajes de colgar. Colocación de la hoja. Colocación de los herrajes de cierre. Colocación de accesorios. Ajuste final.
Criterio de medición de proyecto: Número de unidades previstas, según documentación gráfica de Proyecto.
Criterio de medición de obra: Se medirá el número de unidades realmente ejecutadas según especificaciones de Proyecto.</t>
  </si>
  <si>
    <t>Uds.</t>
  </si>
  <si>
    <t>Largo</t>
  </si>
  <si>
    <t>Ancho</t>
  </si>
  <si>
    <t>Alto</t>
  </si>
  <si>
    <t>Parcial</t>
  </si>
  <si>
    <t>Subtotal</t>
  </si>
  <si>
    <t>Planta Baja</t>
  </si>
  <si>
    <t>0</t>
  </si>
  <si>
    <t>dormi 1</t>
  </si>
  <si>
    <t>Dormi 2</t>
  </si>
  <si>
    <t>Dormi 3</t>
  </si>
  <si>
    <t>LPM020b</t>
  </si>
  <si>
    <t>Ud</t>
  </si>
  <si>
    <t>Armazón corredera 80x210 cm para tabique entramado autoportante</t>
  </si>
  <si>
    <t>Armazón metálico de travesaños metálicos con unión por encaje, preparado para alojar la hoja de una puerta corredera simple, de madera, de 80x210 cm y 4 cm de espesor máximo de hoja; colocación en entramado autoportante de placas de yeso, de 10 cm de espesor total, incluyendo el entramado autoportante y las placas.
Incluye: Montaje y colocación del armazón con los distanciadores en sus alojamientos. Nivelación y fijación a la pared con pelladas de mortero o yeso. Fijación sobre el pavimento mediante atornillado. Rejuntado.
Criterio de medición de proyecto: Número de unidades previstas, según documentación gráfica de Proyecto.
Criterio de medición de obra: Se medirá el número de unidades realmente ejecutadas según especificaciones de Proyecto.</t>
  </si>
  <si>
    <t>Uds.</t>
  </si>
  <si>
    <t>Largo</t>
  </si>
  <si>
    <t>Ancho</t>
  </si>
  <si>
    <t>Alto</t>
  </si>
  <si>
    <t>Parcial</t>
  </si>
  <si>
    <t>Subtotal</t>
  </si>
  <si>
    <t>Planta primera</t>
  </si>
  <si>
    <t>0</t>
  </si>
  <si>
    <t>Dormi ppal</t>
  </si>
  <si>
    <t>Baño ppal</t>
  </si>
  <si>
    <t>Baño 2</t>
  </si>
  <si>
    <t>LPM021</t>
  </si>
  <si>
    <t>Ud</t>
  </si>
  <si>
    <t>Puerta interior corredera para armazón metálico, ciega</t>
  </si>
  <si>
    <t>Puerta interior corredera para armazón metálico, ciega, de una hoja lisa de 210x82,5x4 cm, de tablero de MDF, prelacada en blanco, con moldura de forma recta; precerco de pino país de 100x35 mm; galces de MDF de 100x20 mm; tapajuntas de MDF de 80x12 mm en ambas caras. Incluso herrajes de colgar, de cierre y tirador con manecilla para cierre de aluminio, serie media.
Incluye: Presentación de la puerta. Colocación de los herrajes de colgar. Colocación de la hoja. Colocación de los herrajes de cierre. Colocación de accesorios. Ajuste final. Realización de pruebas de servicio.</t>
  </si>
  <si>
    <t>Uds.</t>
  </si>
  <si>
    <t>Largo</t>
  </si>
  <si>
    <t>Ancho</t>
  </si>
  <si>
    <t>Alto</t>
  </si>
  <si>
    <t>Parcial</t>
  </si>
  <si>
    <t>Subtotal</t>
  </si>
  <si>
    <t>Planta primera</t>
  </si>
  <si>
    <t>0</t>
  </si>
  <si>
    <t>Dormi ppal</t>
  </si>
  <si>
    <t>Baño ppal</t>
  </si>
  <si>
    <t>Baño 2</t>
  </si>
  <si>
    <t>LPM020A</t>
  </si>
  <si>
    <t>Ud</t>
  </si>
  <si>
    <t>Armazón corredera 70x210 cm para tabique entramado autoportante</t>
  </si>
  <si>
    <t>Armazón metálico de travesaños metálicos con unión por encaje, preparado para alojar la hoja de una puerta corredera simple, de madera, de 70x210 cm y 4 cm de espesor máximo de hoja; colocación en entramado autoportante de placas de yeso, de 10 cm de espesor total, incluyendo el entramado autoportante y las placas.
Incluye: Montaje y colocación del armazón con los distanciadores en sus alojamientos. Nivelación y fijación a la pared con pelladas de mortero o yeso. Fijación sobre el pavimento mediante atornillado. Rejuntado.</t>
  </si>
  <si>
    <t>Uds.</t>
  </si>
  <si>
    <t>Largo</t>
  </si>
  <si>
    <t>Ancho</t>
  </si>
  <si>
    <t>Alto</t>
  </si>
  <si>
    <t>Parcial</t>
  </si>
  <si>
    <t>Subtotal</t>
  </si>
  <si>
    <t>Planta baja</t>
  </si>
  <si>
    <t>0</t>
  </si>
  <si>
    <t>Baño 1</t>
  </si>
  <si>
    <t>LPM021B</t>
  </si>
  <si>
    <t>Ud</t>
  </si>
  <si>
    <t>Puerta interior corredera para armazon metalico</t>
  </si>
  <si>
    <t>Puerta interior corredera para armazón metálico, ciega, de una hoja lisa de 210x72,5x4 cm, de tablero de MDF, prelacada en blanco, con moldura de forma recta; precerco de pino país de 100x35 mm; galces de MDF de 100x20 mm; tapajuntas de MDF de 80x12 mm en ambas caras. Incluso herrajes de colgar, de cierre y tirador con manecilla para cierre de aluminio, serie media.
Incluye: Presentación de la puerta. Colocación de los herrajes de colgar. Colocación de la hoja. Colocación de los herrajes de cierre. Colocación de accesorios. Ajuste final. Realización de pruebas de servicio.</t>
  </si>
  <si>
    <t>Uds.</t>
  </si>
  <si>
    <t>Largo</t>
  </si>
  <si>
    <t>Ancho</t>
  </si>
  <si>
    <t>Alto</t>
  </si>
  <si>
    <t>Parcial</t>
  </si>
  <si>
    <t>Subtotal</t>
  </si>
  <si>
    <t>Planta baja</t>
  </si>
  <si>
    <t>0</t>
  </si>
  <si>
    <t>Baño 1</t>
  </si>
  <si>
    <t>LPE</t>
  </si>
  <si>
    <t>Puertas exteriores</t>
  </si>
  <si>
    <t>LPE010</t>
  </si>
  <si>
    <t>Ud</t>
  </si>
  <si>
    <t>Puerta exterior aluminio</t>
  </si>
  <si>
    <t>Suministro y colocación de puerta abatible exterior con hoja lisa de aluminio y panel sandwich , acabado simil madera color Embero texturizado de medidas 850x2100 cm. Incluye colocación en obra.</t>
  </si>
  <si>
    <t>Uds.</t>
  </si>
  <si>
    <t>Largo</t>
  </si>
  <si>
    <t>Ancho</t>
  </si>
  <si>
    <t>Alto</t>
  </si>
  <si>
    <t>Parcial</t>
  </si>
  <si>
    <t>Subtotal</t>
  </si>
  <si>
    <t>Puertas trastero</t>
  </si>
  <si>
    <t>Puerta aseo exterior</t>
  </si>
  <si>
    <t>BBB</t>
  </si>
  <si>
    <t>Barandillas</t>
  </si>
  <si>
    <t>FDY030</t>
  </si>
  <si>
    <t>m</t>
  </si>
  <si>
    <t>Barandilla de vidrio</t>
  </si>
  <si>
    <t>Sistema de barandilla de vidrio, sin pasamanos, formado por perfil continuo en "U" de aleación de aluminio 6063 T6, acabado lacado en color estándar con el sello QUALICOAT, que garantiza el espesor y la calidad del proceso de lacado, probado para una carga de 0,8 kN/m aplicada sobre el borde superior del vidrio según CTE DB SE-AE, de altura máxima 90 cm, para vidrio templado laminar de seguridad, compuesto por dos lunas de 6 mm de espesor, unidas mediante dos láminas incoloras de butiral de polivinilo, de 0,38 mm de espesor cada una. Incluso anclaje mecánico de expansión de acero zincado para la fijación sobre la cara superior del forjado.
Incluye: Marcado de los puntos de fijación. Aplomado y nivelación. Fijación de los anclajes. Montaje de elementos complementarios.</t>
  </si>
  <si>
    <t>Uds.</t>
  </si>
  <si>
    <t>Largo</t>
  </si>
  <si>
    <t>Ancho</t>
  </si>
  <si>
    <t>Alto</t>
  </si>
  <si>
    <t>Parcial</t>
  </si>
  <si>
    <t>Subtotal</t>
  </si>
  <si>
    <t>Planta primera doble altura</t>
  </si>
  <si>
    <t>balconeras Planta primera</t>
  </si>
  <si>
    <t>Puerta oscilobatiente despacho y dormi ppal</t>
  </si>
  <si>
    <t>Tramo inclinado escalera interior</t>
  </si>
  <si>
    <t>BBB010</t>
  </si>
  <si>
    <t>Barandilla hierro sencilla</t>
  </si>
  <si>
    <t>Barandilla hierro sencilla</t>
  </si>
  <si>
    <t>Uds.</t>
  </si>
  <si>
    <t>Largo</t>
  </si>
  <si>
    <t>Ancho</t>
  </si>
  <si>
    <t>Alto</t>
  </si>
  <si>
    <t>Parcial</t>
  </si>
  <si>
    <t>Subtotal</t>
  </si>
  <si>
    <t>barandilla terraza exterior</t>
  </si>
  <si>
    <t>H</t>
  </si>
  <si>
    <t>Remates y ayudas</t>
  </si>
  <si>
    <t>HE</t>
  </si>
  <si>
    <t>Recibidos</t>
  </si>
  <si>
    <t>HEA020</t>
  </si>
  <si>
    <t>Ud</t>
  </si>
  <si>
    <t>Recibido de bañera de longitud superior a 1 m y formación de fal</t>
  </si>
  <si>
    <t>Recibido de bañera de longitud superior a 1 m y formación de faldón con ladrillo cerámico hueco sencillo, recibido con mortero de cemento, industrial, M-5.
Incluye: Replanteo. Apertura de rozas. Retacado con arena. Colocación y nivelación de la bañera. Ejecución del faldón. Protección con tablero aglomerado de madera. Limpieza y eliminación del material sobrante.</t>
  </si>
  <si>
    <t>HEB010</t>
  </si>
  <si>
    <t>m</t>
  </si>
  <si>
    <t>Recibido de barandilla de cristal con patillas de anclaje.</t>
  </si>
  <si>
    <t>Recibido de barandilla metálica con patillas de anclaje o tornillería, con mortero de cemento, industrial, con aditivo hidrófugo, M-10.
Incluye: Replanteo. Apertura de huecos para embutir las patillas de anclaje. Nivelación y aplomado. Tapado de huecos con mortero.</t>
  </si>
  <si>
    <t>Uds.</t>
  </si>
  <si>
    <t>Largo</t>
  </si>
  <si>
    <t>Ancho</t>
  </si>
  <si>
    <t>Alto</t>
  </si>
  <si>
    <t>Parcial</t>
  </si>
  <si>
    <t>Subtotal</t>
  </si>
  <si>
    <t>Planta primera doble altura</t>
  </si>
  <si>
    <t>balconeras Planta primera</t>
  </si>
  <si>
    <t>Puerta oscilobatiente despacho y dormi ppal</t>
  </si>
  <si>
    <t>Tramo inclinado escalera interior</t>
  </si>
  <si>
    <t>HEC010</t>
  </si>
  <si>
    <t>Ud</t>
  </si>
  <si>
    <t>Recibido de carpintería hasta 2 m² de superficie y sellado</t>
  </si>
  <si>
    <t>Recibido de premarco metálico con patillas de anclaje, con mortero de cemento, industrial, con aditivo hidrófugo, M-10, para fijar posteriormente, sobre él, el marco de la carpintería exterior de hasta 2 m² de superficie. Y sellado exterior de la junta entre la carpintería exterior y la obra.
Incluye: Replanteo. Apertura de huecos para embutir las patillas de anclaje. Nivelación y aplomado. Apuntalamiento. Tapado de huecos con mortero.</t>
  </si>
  <si>
    <t>Uds.</t>
  </si>
  <si>
    <t>Largo</t>
  </si>
  <si>
    <t>Ancho</t>
  </si>
  <si>
    <t>Alto</t>
  </si>
  <si>
    <t>Parcial</t>
  </si>
  <si>
    <t>Subtotal</t>
  </si>
  <si>
    <t>Ventanas de Planta Baja</t>
  </si>
  <si>
    <t>0</t>
  </si>
  <si>
    <t>V3</t>
  </si>
  <si>
    <t>V4</t>
  </si>
  <si>
    <t>V5</t>
  </si>
  <si>
    <t>Ventanas de Planta Primera</t>
  </si>
  <si>
    <t>0</t>
  </si>
  <si>
    <t>V6</t>
  </si>
  <si>
    <t>V7</t>
  </si>
  <si>
    <t>V9</t>
  </si>
  <si>
    <t>V10</t>
  </si>
  <si>
    <t>V11</t>
  </si>
  <si>
    <t>V12</t>
  </si>
  <si>
    <t>HEC010b</t>
  </si>
  <si>
    <t>Ud</t>
  </si>
  <si>
    <t>Recibido de carpintería exterior de entre 2m2 y 4m2 y sellado</t>
  </si>
  <si>
    <t>Recibido de premarco metálico con patillas de anclaje, con mortero de cemento, industrial, con aditivo hidrófugo, m-10, para fijar posteriormente, sobre él, el marco de la carpintería exterior de entre 2 y 4 m² de superficie. y sellado exterior de la junta entre la carpintería exterior y la obra.
incluye: replanteo. apertura de huecos para embutir las patillas de anclaje. nivelación y aplomado. apuntalamiento. tapado de huecos con mortero.</t>
  </si>
  <si>
    <t>Uds.</t>
  </si>
  <si>
    <t>Largo</t>
  </si>
  <si>
    <t>Ancho</t>
  </si>
  <si>
    <t>Alto</t>
  </si>
  <si>
    <t>Parcial</t>
  </si>
  <si>
    <t>Subtotal</t>
  </si>
  <si>
    <t>Ventanas de Planta Baja</t>
  </si>
  <si>
    <t>0</t>
  </si>
  <si>
    <t>V1</t>
  </si>
  <si>
    <t>PB2</t>
  </si>
  <si>
    <t>V2</t>
  </si>
  <si>
    <t>PB3</t>
  </si>
  <si>
    <t>Ventanas de Planta Primera</t>
  </si>
  <si>
    <t>0</t>
  </si>
  <si>
    <t>V8</t>
  </si>
  <si>
    <t>HEC010c</t>
  </si>
  <si>
    <t>Ud</t>
  </si>
  <si>
    <t>Recibido de carpintería de más de 4 m² de superficie y sellado</t>
  </si>
  <si>
    <t>Recibido de premarco metálico con patillas de anclaje, con mortero de cemento, industrial, con aditivo hidrófugo, M-10, para fijar posteriormente, sobre él, el marco de la carpintería exterior de más de 4 m² de superficie. Y sellado exterior de la junta entre la carpintería exterior y la obra.
Incluye: Replanteo. Apertura de huecos para embutir las patillas de anclaje. Nivelación y aplomado. Apuntalamiento. Tapado de huecos con mortero.</t>
  </si>
  <si>
    <t>Uds.</t>
  </si>
  <si>
    <t>Largo</t>
  </si>
  <si>
    <t>Ancho</t>
  </si>
  <si>
    <t>Alto</t>
  </si>
  <si>
    <t>Parcial</t>
  </si>
  <si>
    <t>Subtotal</t>
  </si>
  <si>
    <t>Ventanas de Planta Baja</t>
  </si>
  <si>
    <t>0</t>
  </si>
  <si>
    <t>PB1</t>
  </si>
  <si>
    <t>Ventanas Planta Primera</t>
  </si>
  <si>
    <t>0</t>
  </si>
  <si>
    <t>PB4</t>
  </si>
  <si>
    <t>PB5</t>
  </si>
  <si>
    <t>HR</t>
  </si>
  <si>
    <t>Remates</t>
  </si>
  <si>
    <t>HRP020</t>
  </si>
  <si>
    <t>m</t>
  </si>
  <si>
    <t>Albardilla.</t>
  </si>
  <si>
    <t>Albardilla de piedra caliza, diseño a un agua, para cubrición de muros, de ancho medio 300 mm y espesor 25 mm, con goterón, anclaje metálico de acero inoxidable y grava adherida a la superficie en su cara inferior; colocación con adhesivo cementoso flexible y de gran adherencia, C2 S2 sobre una capa de regularización de mortero de cemento, industrial, con aditivo hidrófugo, M-15, sobre el que se introducen los anclajes metálicos; y sellado de las juntas entre piezas y, en su caso, de las uniones con los muros con masilla de poliuretano, previa aplicación de la imprimación.
Incluye: Preparación de la superficie de apoyo. Replanteo de las piezas. Corte de las piezas. Colocación, aplomado, nivelación y alineación de las piezas. Sellado de juntas y limpieza.</t>
  </si>
  <si>
    <t>Uds.</t>
  </si>
  <si>
    <t>Largo</t>
  </si>
  <si>
    <t>Ancho</t>
  </si>
  <si>
    <t>Alto</t>
  </si>
  <si>
    <t>Parcial</t>
  </si>
  <si>
    <t>Subtotal</t>
  </si>
  <si>
    <t>Remate de cubierta en petos de 30cm de ancho</t>
  </si>
  <si>
    <t>0</t>
  </si>
  <si>
    <t>Planta cubierta</t>
  </si>
  <si>
    <t>HRP040</t>
  </si>
  <si>
    <t>m</t>
  </si>
  <si>
    <t>Vierteaguas. Ancho del hueco incrementada en 5 cm a cada lado.</t>
  </si>
  <si>
    <t>Vierteaguas de piedra caliza, plano, con goterón, de ancho medio 300 mm y espesor 25 mm, con anclaje metálico de acero inoxidable y grava adherida a la superficie en su cara inferior y empotrado en las jambas; colocación con adhesivo cementoso flexible y de gran adherencia, C2 S2 sobre una capa de regularización de mortero de cemento, industrial, con aditivo hidrófugo, M-15, sobre el que se introducen los anclajes metálicos; y sellado de las juntas entre piezas y de las uniones con los muros con masilla de poliuretano, previa aplicación de la imprimación.
Incluye: Replanteo de las piezas. Corte de las piezas. Preparación y regularización del soporte. Colocación, aplomado, nivelación y alineación. Sellado de juntas y limpieza.</t>
  </si>
  <si>
    <t>Uds.</t>
  </si>
  <si>
    <t>Largo</t>
  </si>
  <si>
    <t>Ancho</t>
  </si>
  <si>
    <t>Alto</t>
  </si>
  <si>
    <t>Parcial</t>
  </si>
  <si>
    <t>Subtotal</t>
  </si>
  <si>
    <t>Planta Baja</t>
  </si>
  <si>
    <t>0</t>
  </si>
  <si>
    <t>V1</t>
  </si>
  <si>
    <t>V2</t>
  </si>
  <si>
    <t>V4</t>
  </si>
  <si>
    <t>V3</t>
  </si>
  <si>
    <t>V5</t>
  </si>
  <si>
    <t>Planta Primera</t>
  </si>
  <si>
    <t>0</t>
  </si>
  <si>
    <t>V6</t>
  </si>
  <si>
    <t>V7a</t>
  </si>
  <si>
    <t>V7b</t>
  </si>
  <si>
    <t>PB4+PB5</t>
  </si>
  <si>
    <t>V8</t>
  </si>
  <si>
    <t>V9</t>
  </si>
  <si>
    <t>V10</t>
  </si>
  <si>
    <t>V11</t>
  </si>
  <si>
    <t>V12</t>
  </si>
  <si>
    <t>HY</t>
  </si>
  <si>
    <t>Ayudas de albañilería</t>
  </si>
  <si>
    <t>HYA010</t>
  </si>
  <si>
    <t>m²</t>
  </si>
  <si>
    <t>Repercusión infraestructura de telecomunicaciones.</t>
  </si>
  <si>
    <t>Repercusión por m² de superficie construida de obra, de ayudas de cualquier trabajo de albañilería, necesarias para la correcta ejecución de la infraestructura de telecomunicaciones formada por: canalizaciones y registro de enlace, registro de terminación de red, canalización interior de usuario, registros de paso y registros de toma, con un grado de complejidad medio, en edificio de vivienda unifamiliar. Incluso material auxiliar para la correcta ejecución de los trabajos.
Incluye: Trabajos de apertura y tapado de rozas. Apertura de agujeros en paramentos, falsos techos, muros, forjados y losas, para el paso de instalaciones. Colocación de pasamuros. Colocación y recibido de cajas para elementos empotrados. Sellado de agujeros y huecos de paso de instalaciones.</t>
  </si>
  <si>
    <t>HYA010b</t>
  </si>
  <si>
    <t>m²</t>
  </si>
  <si>
    <t>Repercusión instalaciones</t>
  </si>
  <si>
    <t>Repercusión por m² de superficie construida de obra, de ayudas de cualquier trabajo de albañilería, necesarias para la correcta ejecución de la instalación : 
-AUDIOVISUAL formada por: sistema colectivo de captación de señales de TV y radio, sistema de interfonía y/o vídeo (placa de calle, módulo amplificador, módulo pulsador, alimentador de audio, monitor de teléfono y abrepuerta), mecanismos y accesorios.
-CALEFACCIÓN formada por: tuberías de distribución de agua, suelo radiante y cualquier otro elemento componente de la instalación.
-CLIMATIZACIÓN formada por: conductos con sus accesorios y piezas especiales, fancoil, rejillas, bocas de ventilación, compuertas, toberas, reguladores, difusores, cualquier otro elemento componente de la instalación y p/p de conexiones a las redes eléctrica, de fontanería y de salubridad
-ELÉCTRICA formada por: puesta a tierra, red de equipotencialidad, caja de protección y medida, línea general de alimentación, derivaciones individuales y red de distribución interior.
-FONTANERÍA formada por: acometida, tubo de alimentación, contador individual, grupo de presión, depósito, montantes, instalación interior, cualquier otro elemento componente de la instalación, accesorios y piezas especiales.
-EVACUACIÓN ormada por: sistema de evacuación (bajantes interiores y exteriores de aguas pluviales y residuales, canalones, botes sifónicos, colectores suspendidos, sistemas de elevación, derivaciones individuales y cualquier otro elemento componente de la instalación)
-VENTILACIÓN formada por: sistema de ventilación (red de conductos de ventilación, rejillas interiores o exteriores de impulsión o retorno, difusores, compuertas y cualquier otro elemento componente de la instalación que deba recibirse en falsos techos, particiones interiores, suelos técnicos o cerramientos de fachada).
Todas con un grado de complejidad medio, en edificio plurifamiliar, incluida p/p de elementos comunes. Incluso material auxiliar para la correcta ejecución de los trabajos.
Incluye: Trabajos de apertura y tapado de rozas. Apertura de agujeros en paramentos, falsos techos, muros, forjados y losas, para el paso de instalaciones. Colocación de pasamuros. Colocación y recibido de cajas para elementos empotrados. Sellado de agujeros y huecos de paso de instalaciones.
Criterio de medición de proyecto: Superficie construida, medida según documentación gráfica de Proyecto.
Criterio de medición de obra: Se medirá la superficie realmente ejecutada según especificaciones de Proyecto.</t>
  </si>
  <si>
    <t>HYL020b</t>
  </si>
  <si>
    <t>Ud</t>
  </si>
  <si>
    <t>Limpieza final de obra en vivienda unifamiliar.</t>
  </si>
  <si>
    <t>Limpieza final de obra en vivienda unifamiliar, con una superficie construida media de 200 m², incluyendo los trabajos de eliminación de la suciedad y el polvo acumulado en paramentos y carpinterías, limpieza y desinfección de baños y aseos, limpieza de cristales y carpinterías exteriores, eliminación de manchas y restos de yeso y mortero adheridos en suelos y otros elementos, recogida y retirada de plásticos y cartones, todo ello junto con los demás restos de fin de obra depositados en el contenedor de residuos para su transporte a vertedero autorizado.
Incluye: Trabajos de limpieza. Retirada y acopio de los restos generados. Carga manual de los restos generados sobre camión o contenedor.</t>
  </si>
  <si>
    <t>I</t>
  </si>
  <si>
    <t>Instalaciones</t>
  </si>
  <si>
    <t>IA</t>
  </si>
  <si>
    <t>Audiovisuales</t>
  </si>
  <si>
    <t>IAA031</t>
  </si>
  <si>
    <t>Ud</t>
  </si>
  <si>
    <t>Conjunto de antena.</t>
  </si>
  <si>
    <t>Conjunto de antena fromado por : Mástil de 3 mts para fijación antenas, antena UHF de gran captación, vientos de sujección,  1 amplificador de mastil, 1 repartidor de salidas. Incluso anclajes, replanteos  y cuantos accesorios sean necesarios para su correcta instalación.</t>
  </si>
  <si>
    <t>IAA034</t>
  </si>
  <si>
    <t>Ud</t>
  </si>
  <si>
    <t>Antena exterior FM, circular, para captación de señales de radio</t>
  </si>
  <si>
    <t>Antena exterior FM, circular, para captación de señales de radiodifusión sonora analógica procedentes de emisiones terrenales, de 1 dBi de ganancia y 500 mm de longitud. Incluso anclajes y cuantos accesorios sean necesarios para su correcta instalación.</t>
  </si>
  <si>
    <t>IAA034b</t>
  </si>
  <si>
    <t>Ud</t>
  </si>
  <si>
    <t>Antena exterior DAB para captación de señales de radiodifusión s</t>
  </si>
  <si>
    <t>Antena exterior DAB para captación de señales de radiodifusión sonora digital procedentes de emisiones terrenales, de 3 elementos, 8 dBi de ganancia, relación D/A mayor de 15 dB y 555 mm de longitud. Incluso anclajes y cuantos accesorios sean necesarios para su correcta instalación.</t>
  </si>
  <si>
    <t>IAA034c</t>
  </si>
  <si>
    <t>Ud</t>
  </si>
  <si>
    <t>Antena exterior UHF para captación de señales de televisión anal</t>
  </si>
  <si>
    <t>Antena exterior UHF para captación de señales de televisión analógica, televisión digital terrestre (TDT) y televisión de alta definición (HDTV) procedentes de emisiones terrenales, canales del 21 al 48, de 13 elementos, 13 dBi de ganancia, y relación D/A mayor de 25 dB. Incluso anclajes y cuantos accesorios sean necesarios para su correcta instalación.</t>
  </si>
  <si>
    <t>IAA039</t>
  </si>
  <si>
    <t>Ud</t>
  </si>
  <si>
    <t>Amplificador de mástil, de 3 entradas, BI/FM/BIII-UHF-FI, de 35</t>
  </si>
  <si>
    <t>Amplificador de mástil, de 3 entradas, BI/FM/BIII-UHF-FI, de 35 dB de ganancia máxima. Incluso conectores tipo "F", fuente de alimentación, carga resistiva y cuantos accesorios sean necesarios para su correcta instalación.</t>
  </si>
  <si>
    <t>IAA100</t>
  </si>
  <si>
    <t>ud</t>
  </si>
  <si>
    <t>Tuberías alimentación telecomunicaciones.</t>
  </si>
  <si>
    <t>Intalación de tuberías para acometida de cableado telecomunicaciones, compuesta por 3 tubos de 63 mm de una longitud de 3x25 mts. Incluso accesorios y elementos de sujeción.</t>
  </si>
  <si>
    <t>IAA100b</t>
  </si>
  <si>
    <t>m</t>
  </si>
  <si>
    <t>Cable coaxial clase A, de 75 ± 2 Ohm, reacción al fuego clase Dc</t>
  </si>
  <si>
    <t>Cable coaxial clase A, de 75 ± 2 Ohm, reacción al fuego clase Dca-s2,d2,a2 según UNE-EN 50575, con conductor central de cobre de 1,2 ± 0,02 mm de diámetro, dieléctrico de polietileno expanso de 5,0 ± 0,1 mm de diámetro, pantalla de cinta de cobre y poliéster, malla de hilos trenzados de cobre y cubierta exterior de LSFH libre de halógenos, con baja emisión de humos y gases corrosivos de 6,9 ± 0,1 mm de diámetro de color gris. Incluso accesorios y elementos de sujeción.</t>
  </si>
  <si>
    <t>IAA115</t>
  </si>
  <si>
    <t>Ud</t>
  </si>
  <si>
    <t>Repartidor de 5-2400 MHz de 6 salidas con punto de acceso a usua</t>
  </si>
  <si>
    <t>Repartidor de 5-2400 MHz de 6 salidas con punto de acceso a usuario (PAU), de 120x60x16 mm, 12 dB de pérdidas de inserción a 862 MHz y 17 dB de pérdidas de inserción a 2150 MHz.</t>
  </si>
  <si>
    <t>IAA120</t>
  </si>
  <si>
    <t>Ud</t>
  </si>
  <si>
    <t>Toma separadora doble, TV/R-SAT, de 5-2150 MHz, marco y embellec</t>
  </si>
  <si>
    <t>Toma separadora doble, TV/R-SAT, de 5-2150 MHz, marco y embellecedor.</t>
  </si>
  <si>
    <t>IAF070</t>
  </si>
  <si>
    <t>m</t>
  </si>
  <si>
    <t>Cable rígido U/UTP no propagador de la llama de 4 pares trenzado</t>
  </si>
  <si>
    <t>Cable rígido U/UTP no propagador de la llama de 4 pares trenzados de cobre, categoría 6, reacción al fuego clase Dca-s2,d2,a2 según UNE-EN 50575, con conductor unifilar de cobre, aislamiento de polietileno y vaina exterior de poliolefina termoplástica LSFH libre de halógenos, con baja emisión de humos y gases corrosivos, de 6,2 mm de diámetro. Incluso accesorios y elementos de sujeción.</t>
  </si>
  <si>
    <t>IAF090</t>
  </si>
  <si>
    <t>Ud</t>
  </si>
  <si>
    <t>Toma simple con conector tipo RJ-45 de 8 contactos, categoría 6,</t>
  </si>
  <si>
    <t>Toma simple con conector tipo RJ-45 de 8 contactos, categoría 6, marco y embellecedor.</t>
  </si>
  <si>
    <t>IC</t>
  </si>
  <si>
    <t>Calefacción, climatización y A.C.S.</t>
  </si>
  <si>
    <t>IBC01</t>
  </si>
  <si>
    <t>Ud</t>
  </si>
  <si>
    <t>Sistema de aerotermia Kosner</t>
  </si>
  <si>
    <t>Equipo de Aerotermia KOSNER compuesto por bomba de calor aire/agua aerotermia monobloc Kosner Aquaris MD 16T R-32. Completamente instalada y en perfecto funcionamiento.</t>
  </si>
  <si>
    <t>ICC01</t>
  </si>
  <si>
    <t>Ud</t>
  </si>
  <si>
    <t>Instalación de climatización.</t>
  </si>
  <si>
    <t>Suministro y colocación de 5 equipos de Fan coil individualizados para climatización por conductos marca KOSNER , Iincluye lineas frigoríficas , red de conductos interiores,  rejillas lineales y control remoto .Totalmente instalada y en perfecto funcionameinto.</t>
  </si>
  <si>
    <t>ICSR</t>
  </si>
  <si>
    <t>Ud</t>
  </si>
  <si>
    <t>Instalación de Suelo radiante</t>
  </si>
  <si>
    <t>Instalación de calefacción con sistema de suelo radiante. Realizada mediante circuito de tuberías de 16 mm , colocado sobre aislante de 2 cm de espesor. Incluye armarios , colector de distribucion del circuito, piezas especiales , llaves termoestáticas y vertido de capa de autonivelante.  Completamente instalado y con todo lo necesario para su  perfecto funcionamiento conforme lo especifiado en la norma UNE -EN1264.</t>
  </si>
  <si>
    <t>ICH060</t>
  </si>
  <si>
    <t>Ud</t>
  </si>
  <si>
    <t>Cassette insertable a leña</t>
  </si>
  <si>
    <t>Cassette insertable a leña, potencia térmica nominal 7 kW, rendimiento 71,5%, volumen de calefacción, calculado con un requisito de 40 W/m³, 170 m³, de acero color antracita, con ventilación por convección natural.</t>
  </si>
  <si>
    <t>ICC02</t>
  </si>
  <si>
    <t>Ud</t>
  </si>
  <si>
    <t>Control y regulación inteligente de equipos</t>
  </si>
  <si>
    <t>Control y regulacion intelgiente de equipos de climatización- WIFI</t>
  </si>
  <si>
    <t>IE</t>
  </si>
  <si>
    <t>Eléctricas</t>
  </si>
  <si>
    <t>IEI015b</t>
  </si>
  <si>
    <t>Ud</t>
  </si>
  <si>
    <t>Red eléctrica de distribución interior.</t>
  </si>
  <si>
    <t>Red eléctrica completa de distribución interior de una vivienda unifamiliar con grado de electrificación elevada, con las siguientes estancias: acceso, vestíbulo, pasillo, escalera, salon, cocina comedor, dormitorio doble , 3 dormitorios sencillos, 3 baños, aseo, galería, terraza, garaje con alumbrado de emergencia y puerta automatizada, compuesta de los siguientes elementos: CUADRO GENERAL DE MANDO Y PROTECCIÓN, CUADROS SECUNDARIOS; CIRCUITOS INTERIORES: C1, C3,  C4,  C5,  C6, del tipo C1, 2 C7, del tipo C2,  C10, C12 del tipo C5; MECANISMOS gama media con tecla o tapa de color blanco, marco de color blanco y embellecedor de color blanco. Incluso tubo protector, tendido de cables en su interior, cajas de derivación con tapas y regletas de conexión, cajas de empotrar con tornillos de fijación y cuantos accesorios sean necesarios para su correcta instalación. Totalmente montada, conexionada y probada.
Incluye: Replanteo y trazado de conductos. Colocación de las cajas para el cuadro. Colocación de los cuadros secundarios. Montaje de los componentes. Colocación y fijación de los tubos. Colocación de cajas de derivación y de empotrar. Tendido y conexionado de cables. Colocación de mecanismos.
Criterio de medición de proyecto: Número de unidades previstas, según documentación gráfica de Proyecto.
Criterio de medición de obra: Se medirá el número de unidades realmente ejecutadas según especificaciones de Proyecto.
NO INCLUYE ACOMETIDA NI CAMBIOS EN LA CGP DE COMPAÑÍA POR AUMENTO DE POTENCIA.</t>
  </si>
  <si>
    <t>IEM050</t>
  </si>
  <si>
    <t>Ud</t>
  </si>
  <si>
    <t>Videoportero</t>
  </si>
  <si>
    <t>Instalacion de kit de videoportero convencional color antivandalico para vivienda unifamiliar compuesto de: placa exterior de calle antivandalica con pulsador de llamada y telecamara, fuente de alimentacion y monitor con base de conexion. Incluso abrepuertas, visera, cableado y cajas.</t>
  </si>
  <si>
    <t>IEP030</t>
  </si>
  <si>
    <t>Ud</t>
  </si>
  <si>
    <t>Toma de tierra</t>
  </si>
  <si>
    <t>Red de equipotencialidad en cuarto húmedo mediante conductor rígido de cobre de 4 mm² de sección, conectando a tierra todas las canalizaciones metálicas existentes y todos los elementos conductores que resulten accesibles mediante abrazaderas de latón. Incluso cajas de empalmes y regletas. Totalmente montada, conexionada y probada.
Incluye: Replanteo. Conexionado del electrodo y la línea de enlace. Montaje del punto de puesta a tierra. Trazado de la línea principal de tierra. Sujeción. Trazado de derivaciones de tierra. Conexionado de las derivaciones. Conexión a masa de la red.</t>
  </si>
  <si>
    <t>IF</t>
  </si>
  <si>
    <t>Fontanería</t>
  </si>
  <si>
    <t>IFI010b</t>
  </si>
  <si>
    <t>Ud</t>
  </si>
  <si>
    <t>Instalación interior de fontanería para vivienda</t>
  </si>
  <si>
    <t>Instalación interior de fontanería para las siguientes estancias:
-ASEO con dotación para: inodoro, lavabo sencillo, 
-TRES CUARTOS DE BAÑO con dotación para: inodoro, lavabo y bañera o ducha según corresponda.
-COCINA con dotación para: fregadero, toma y llave de paso para lavavajillas
-LAVADEROcon dotación para: lavadero, toma y llave de paso para lavadora y secadora
-COCINA EXTERIOR con dotación para fergadero
-DEPURADORA de piscina
Toda realizada con tubo de polietileno reticulado (PE-X), para la red de agua fría y caliente que conecta la derivación particular o una de sus ramificaciones con cada uno de los aparatos sanitarios, con los diámetros necesarios para cada punto de servicio. Incluso llaves de paso de cuarto húmedo para el corte del suministro de agua, de polietileno reticulado (PE-X), material auxiliar para montaje y sujeción a la obra, derivación particular, accesorios de derivaciones.
Incluye: Replanteo. Colocación y fijación de tuberías y llaves.</t>
  </si>
  <si>
    <t>II</t>
  </si>
  <si>
    <t>Iluminación</t>
  </si>
  <si>
    <t>III</t>
  </si>
  <si>
    <t>Interior y exterior</t>
  </si>
  <si>
    <t>III101</t>
  </si>
  <si>
    <t>Ud</t>
  </si>
  <si>
    <t>Suministro e instalación empotrada de luminaria circular de tech</t>
  </si>
  <si>
    <t>Suministro e instalacion empotrada de luminaria circular de techo Downlight MODELO LISO D-438 ACABADO NEGRO o similar ,6W de potencia y 3000k .</t>
  </si>
  <si>
    <t>III101B</t>
  </si>
  <si>
    <t>Ud</t>
  </si>
  <si>
    <t>Suministro e instalación empotrada de luminaria circular de tech</t>
  </si>
  <si>
    <t>Suministro e instalacion empotrada de luminaria circular de techo Downlight Optik I de "ONOK" de 69 mm de diametro y 64 mm de altura, led 7 W y 800 lm, aro embellecedor de aluminio inyectado, acabado termoesmaltado, de color negro o similar ; proteccion IP55, temperatura de color 3000K y angulo de apertura 40</t>
  </si>
  <si>
    <t>III102</t>
  </si>
  <si>
    <t>Ud</t>
  </si>
  <si>
    <t>Instalacion Lampara colgante interior</t>
  </si>
  <si>
    <t>Instalación de lampara colgante suministrada por el cliente.</t>
  </si>
  <si>
    <t>III103</t>
  </si>
  <si>
    <t>Ud</t>
  </si>
  <si>
    <t>Instalación Lampara colgante exterior</t>
  </si>
  <si>
    <t>Instalación de lampara colgante suministrada por el cliente.</t>
  </si>
  <si>
    <t>III104</t>
  </si>
  <si>
    <t>m</t>
  </si>
  <si>
    <t>Suministro e instalación en superficie de tira led Alpha 8 de "T</t>
  </si>
  <si>
    <t>Suministro e instalacion en superficie de tira led  de 10mm de anchura, 120 led/m, led 14,5W/m y 1270 lm/m lm, aro embellecedor de aluminio inyectado, acabado termoesmaltado, de color negro o similar; proteccion IP20, temperatura de color 3000K. Se incluye en este precio perfil difusor de aluminio, tapa opal, cableado, corte, driver, terminales, anclajes y otros elementos necesarios para su completa instalacion.</t>
  </si>
  <si>
    <t>Uds.</t>
  </si>
  <si>
    <t>Largo</t>
  </si>
  <si>
    <t>Ancho</t>
  </si>
  <si>
    <t>Alto</t>
  </si>
  <si>
    <t>Parcial</t>
  </si>
  <si>
    <t>Subtotal</t>
  </si>
  <si>
    <t>led en altos cocina</t>
  </si>
  <si>
    <t>III105</t>
  </si>
  <si>
    <t>Ud</t>
  </si>
  <si>
    <t>Suministro e instalación empotrada en pared de luminaria exterio</t>
  </si>
  <si>
    <t>Suministro e instalacion empotrada en pared de luminaria Aplique de Pared Exterior LED 9W Iluminacion Doble Cara Galeo, sistema de iluminacion en dos direcciones: hacia arriba y hacia abajo. color negro o similar. Grado de proteccon  IP65 y temperatura de color 3000k, 600lm</t>
  </si>
  <si>
    <t>III106</t>
  </si>
  <si>
    <t>Ud</t>
  </si>
  <si>
    <t>Instalacion de Aplique de pared TEJA P para colgar</t>
  </si>
  <si>
    <t>Aplique de pared teja P para colgar barro natural 40 x 20 cm. o similar.
De alfarería hecho a mano con barro de Puente del arzobispo.</t>
  </si>
  <si>
    <t>IS</t>
  </si>
  <si>
    <t>Evacuación de aguas</t>
  </si>
  <si>
    <t>ISB010</t>
  </si>
  <si>
    <t>m</t>
  </si>
  <si>
    <t>Bajante interior de la red de evacuación de aguas residuales de</t>
  </si>
  <si>
    <t>Bajante interior de la red de evacuación de aguas residuales, formada por tubo de PVC, serie B, de 110 mm de diámetro, unión pegada con adhesivo.</t>
  </si>
  <si>
    <t>Uds.</t>
  </si>
  <si>
    <t>Largo</t>
  </si>
  <si>
    <t>Ancho</t>
  </si>
  <si>
    <t>Alto</t>
  </si>
  <si>
    <t>Parcial</t>
  </si>
  <si>
    <t>Subtotal</t>
  </si>
  <si>
    <t>Bajante vertical de aguas residuales</t>
  </si>
  <si>
    <t>ISB010c</t>
  </si>
  <si>
    <t>m</t>
  </si>
  <si>
    <t>Bajante exterior de la red de evacuación de aguas pluviales de 1</t>
  </si>
  <si>
    <t>Bajante interior de la red de evacuación de aguas pluviales, formada por tubo de PVC, serie B, de 110 mm de diámetro y 3,2 mm de espesor; unión pegada con adhesivo. Incluso líquido limpiador, adhesivo para tubos y accesorios de PVC, material auxiliar para montaje y sujeción a la obra, accesorios y piezas especiales.
Incluye: Replanteo del recorrido de la bajante y de la situación de los elementos de sujeción. Presentación en seco de los tubos. Fijación del material auxiliar para montaje y sujeción a la obra. Montaje, conexionado y comprobación de su correcto funcionamiento.</t>
  </si>
  <si>
    <t>Uds.</t>
  </si>
  <si>
    <t>Largo</t>
  </si>
  <si>
    <t>Ancho</t>
  </si>
  <si>
    <t>Alto</t>
  </si>
  <si>
    <t>Parcial</t>
  </si>
  <si>
    <t>Subtotal</t>
  </si>
  <si>
    <t>Bajante exterior desde solera hasta cubierta.</t>
  </si>
  <si>
    <t>ISD020d</t>
  </si>
  <si>
    <t>Ud</t>
  </si>
  <si>
    <t>Red interior de evacuación, para zonas húmedas de vivienda</t>
  </si>
  <si>
    <t>Red interior de evacuación, para:
-ASEO, con dotación para: inodoro, lavabo sencillo
-TRES CUARTOS DE BAÑO con dotación para: inodoro, lavabo sencillo, bañera o ducha segun baño
-COCINA con dotación para: fregadero, toma de desagüe para lavavajillas
-GALERIA con dotación para: lavadero, toma de desagüe para lavadora y secadora
Todas realizadas con tubo de PVC, serie B para la red de desagües que conectan la evacuación de los aparatos con la bajante (en cocina y galeria) y con el bote sifónico y con la bajante (en baños y aseo), con los diámetros necesarios para cada punto de servicio, y bote sifónico de PVC, de 110 mm de diámetro, con tapa ciega de acero inoxidable. Incluso líquido limpiador, adhesivo para tubos y accesorios de PVC, material auxiliar para montaje y sujeción a la obra, accesorios y piezas especiales.
Incluye: Replanteo. Presentación en seco de los tubos. Fijación del material auxiliar para montaje y sujeción a la obra. Colocación del bote sifónico. Montaje, conexionado y comprobación de su correcto funcionamiento. Realización de pruebas de servicio.</t>
  </si>
  <si>
    <t>ISD030</t>
  </si>
  <si>
    <t>Ud</t>
  </si>
  <si>
    <t>Red exterior de evacuacion aguas</t>
  </si>
  <si>
    <t>Red interior de evacuación, para:
-COCINA EXTERIOR  con dotación para: fregadero
-DEPURADORA
-DUCHA PISCINA
Todas realizadas con tubo de PVC, serie B para la red de desagües que conectan la evacuación de los aparatos con el separador de grasas.
Incluye: Replanteo. Presentación en seco de los tubos. Fijación del material auxiliar para montaje y sujeción a la obra. Montaje, conexionado y comprobación de su correcto funcionamiento. Realización de pruebas de servicio.</t>
  </si>
  <si>
    <t>UR</t>
  </si>
  <si>
    <t>Riego por aspersion</t>
  </si>
  <si>
    <t>UR010</t>
  </si>
  <si>
    <t>ml</t>
  </si>
  <si>
    <t>Sitema de riego por goteo</t>
  </si>
  <si>
    <t>Uds.</t>
  </si>
  <si>
    <t>Largo</t>
  </si>
  <si>
    <t>Ancho</t>
  </si>
  <si>
    <t>Alto</t>
  </si>
  <si>
    <t>Parcial</t>
  </si>
  <si>
    <t>Subtotal</t>
  </si>
  <si>
    <t>jardineras cipreses</t>
  </si>
  <si>
    <t>jardinera terraza norte</t>
  </si>
  <si>
    <t>jardineras zona piscina</t>
  </si>
  <si>
    <t>UR020</t>
  </si>
  <si>
    <t>m²</t>
  </si>
  <si>
    <t>Siestema de riego por aspersión</t>
  </si>
  <si>
    <t>Sistema de riego por aspersión para jardin. Con automatización
Tubería de longitud regulable con dos codos articulados en sus extremos, de 1/2" de diámetro. Aspersor emergente de turbina, de latón, con arco ajustable, radio de 5 a 20 m regulable con tornillo, conexión de 1/2" de diámetro, intervalo de presiones recomendado de 2 a 5 bar. Incluso accesorios de conexión.
Incluye: Replanteo y trazado. Colocación de la tubería. Conexionado y comprobación de su correcto funcionamiento. . Eliminación de las tierras sueltas del fondo de la excavación. Vertido de arena en el fondo de la excavación. Colocación del tubo en la zanja. Tendido de cables. Conexionado. Ejecución del relleno envolvente.
Criterio de medición de proyecto: Longitud medida según documentación gráfica de Proyecto.
Criterio de medición de obra: Se medirá la longitud realmente ejecutada según especificaciones de Proyecto.Aspersor emergente de turbina, de latón, con arco ajustable, radio de 5 a 20 m regulable con tornillo, conexión de 1/2" de diámetro.</t>
  </si>
  <si>
    <t>Uds.</t>
  </si>
  <si>
    <t>Largo</t>
  </si>
  <si>
    <t>Ancho</t>
  </si>
  <si>
    <t>Alto</t>
  </si>
  <si>
    <t>Parcial</t>
  </si>
  <si>
    <t>Subtotal</t>
  </si>
  <si>
    <t>zona jardin y palmeras</t>
  </si>
  <si>
    <t>Q</t>
  </si>
  <si>
    <t>Cubiertas</t>
  </si>
  <si>
    <t>QA</t>
  </si>
  <si>
    <t>Planas</t>
  </si>
  <si>
    <t>QAB022b</t>
  </si>
  <si>
    <t>m²</t>
  </si>
  <si>
    <t>Transitable no ventilada</t>
  </si>
  <si>
    <t>Cubierta plana transitable, no ventilada, con solado fijo, tipo invertida, pendiente del 1% al 5%, para tráfico peatonal privado. FORMACIÓN DE PENDIENTES: mediante encintado de limatesas, limahoyas y juntas con maestras de ladrillo cerámico hueco doble y capa de arcilla expandida, vertida en seco y consolidada en su superficie con lechada de cemento, proporcionando una resistencia a compresión de 1 MPa y con una conductividad térmica de 0,087 W/(mK), con espesor medio de 10 cm; con capa de regularización de mortero de cemento, industrial, M-5 de 4 cm de espesor, acabado fratasado; IMPERMEABILIZACIÓN: tipo bicapa, adherida, compuesta por lámina de betún modificado con elastómero SBS, LBM(SBS)-30-FV, previa imprimación con emulsión asfáltica aniónica con cargas tipo EB, y lámina de betún modificado con elastómero SBS, LBM(SBS)-30-FP adherida a la anterior con soplete, sin coincidir sus juntas; CAPA SEPARADORA BAJO AISLAMIENTO: geotextil no tejido compuesto por fibras de poliéster unidas por agujeteado, (150 g/m²); AISLAMIENTO TÉRMICO: panel rígido de poliestireno extruido, de superficie lisa y mecanizado lateral a media madera, de 40 mm de espesor, resistencia a compresión &gt;= 300 kPa; CAPA SEPARADORA BAJO CAPA DE REFUERZO: geotextil no tejido compuesto por fibras de poliéster unidas por agujeteado, (150 g/m²); CAPA DE REFUERZO: mortero de cemento CEM II/B-P 32,5 N tipo M-10 de 4 cm de espesor; CAPA SEPARADORA BAJO PROTECCIÓN: geotextil no tejido compuesto por fibras de poliéster unidas por agujeteado, (200 g/m²); CAPA DE PROTECCIÓN: pavimento de baldosas cerámicas de gres  colocadas en capa fina con adhesivo cementoso de fraguado normal, C1 sin ninguna característica adicional, color gris, sobre una capa de regularización de mortero de cemento, industrial, M-5, de 4 cm de espesor, rejuntadas con mortero de juntas cementoso mejorado, con absorción de agua reducida y resistencia elevada a la abrasión tipo CG 2 W A, color blanco, para juntas de 2 a 15 mm</t>
  </si>
  <si>
    <t>Uds.</t>
  </si>
  <si>
    <t>Largo</t>
  </si>
  <si>
    <t>Ancho</t>
  </si>
  <si>
    <t>Alto</t>
  </si>
  <si>
    <t>Parcial</t>
  </si>
  <si>
    <t>Subtotal</t>
  </si>
  <si>
    <t>Terraza de Planta Primera</t>
  </si>
  <si>
    <t>QTT</t>
  </si>
  <si>
    <t>Inclinada</t>
  </si>
  <si>
    <t>QTT210</t>
  </si>
  <si>
    <t>m²</t>
  </si>
  <si>
    <t>Cubierta inclinada de tejas+impermeabilización</t>
  </si>
  <si>
    <t>Revestimiento de cubierta inclinada con: impermeabilización con lámina tipo monocapa adherida, formada por lámina de betún modificado con elastómero SBS, LBM(SBS)-30-FP, con armadura de fieltro de poliéster no tejido de 160 g/m², de superficie no protegida, totalmente adherida al soporte con soplete previa imprimación con emulsión asfáltica aniónica con cargas tipo EB; Cobertura de tejas cerámicas curvas, acabado con engobe color rojo, 40,8x15x11,6 cm, recibidas con mortero de cemento, industrial, M-2,5. Incluso, resolución de puntos singulares y piezas especiales de la cobertura.</t>
  </si>
  <si>
    <t>Uds.</t>
  </si>
  <si>
    <t>Largo</t>
  </si>
  <si>
    <t>Ancho</t>
  </si>
  <si>
    <t>Alto</t>
  </si>
  <si>
    <t>Parcial</t>
  </si>
  <si>
    <t>Subtotal</t>
  </si>
  <si>
    <t>paellero y trastero</t>
  </si>
  <si>
    <t>QTT210B</t>
  </si>
  <si>
    <t>m²</t>
  </si>
  <si>
    <t>Cubierta inclinada de tejas+formación de pendientes+impermeabili</t>
  </si>
  <si>
    <t>Cubierta inclinada con una pendiente media del 30%. AISLAMIENTO TÉRMICO: fieltro aislante de lana mineral, según UNE-EN 13162, revestido por una de sus caras con un complejo de papel kraft con polietileno que actúa como barrera de vapor, de 80 mm de espesor, resistencia térmica 2 m²K/W, conductividad térmica 0,042 W/(mK); FORMACIÓN DE PENDIENTES: tablero cerámico hueco machihembrado, para revestir, 100x30x3,5 cm, con las testas rectas, con una capa de regularización de mortero de cemento, industrial, M-5, de 3 cm de espesor y acabado fratasado y relleno de las juntas entre las piezas de dos tramos contiguos con el mismo mortero, sobre tabiques aligerados de ladrillo cerámico hueco de 24x11,5x9 cm recibido con mortero de cemento, industrial, M-5, rematados superiormente con maestras de mortero de cemento, industrial, M-5, todo ello sobre forjado de hormigón; IMPERMEABILIZACIÓN: tipo monocapa adherida, formada por lámina de betún modificado con elastómero SBS, LBM(SBS)-30-FP, con armadura de fieltro de poliéster no tejido de 160 g/m², de superficie no protegida, totalmente adherida al soporte con soplete previa imprimación con emulsión asfáltica aniónica con cargas tipo EB; COBERTURA: tejas cerámicas curvas, acabado con engobe color rojo, 40,8x15x11,6 cm, recibidas con mortero de cemento, industrial, M-2,5. Incluso, resolución de puntos singulares y piezas especiales de la cobertura.</t>
  </si>
  <si>
    <t>Uds.</t>
  </si>
  <si>
    <t>Largo</t>
  </si>
  <si>
    <t>Ancho</t>
  </si>
  <si>
    <t>Alto</t>
  </si>
  <si>
    <t>Parcial</t>
  </si>
  <si>
    <t>Subtotal</t>
  </si>
  <si>
    <t>cubierta sobre dormitorios</t>
  </si>
  <si>
    <t>TP</t>
  </si>
  <si>
    <t>Trampilla salida</t>
  </si>
  <si>
    <t>TP01</t>
  </si>
  <si>
    <t>Ud</t>
  </si>
  <si>
    <t>Trampilla acceso cubierta DRL marca FAKRO</t>
  </si>
  <si>
    <t>Suministro e instalación de Trampilla marco PVC 60x120 para acceso a planta cubierta para mantenimiento placas solares. 
Incluye Escalera escamoteable LWK Komfort marca FAKRO y Trampilla marco PVC 60x120 marca FAKRO</t>
  </si>
  <si>
    <t>R</t>
  </si>
  <si>
    <t>Revestimientos y trasdosados</t>
  </si>
  <si>
    <t>RA</t>
  </si>
  <si>
    <t>Alicatados</t>
  </si>
  <si>
    <t>RAG012d</t>
  </si>
  <si>
    <t>m²</t>
  </si>
  <si>
    <t>Alicatado con gres porcelánico acabado mate o natural.</t>
  </si>
  <si>
    <t>Alicatado con gres porcelánico según DF , de 36 €/m², 400x1200mm capacidad de absorción de agua E&lt;0,5%, grupo BIa, según UNE-EN 14411, con resistencia al deslizamiento Rd&lt;=15 según UNE-ENV 12633 y resbaladicidad clase 0 según CTE, colocado sobre una superficie soporte de placas de yeso laminado, en paramentos interiores, recibido con adhesivo cementoso mejorado de ligantes mixtos, C2 TE S1, deformable, con deslizamiento reducido y tiempo abierto ampliado Webercol Flex² Multi "WEBER", color blanco, con doble encolado, y rejuntado con mortero de juntas cementoso tipo L, color blanco, para juntas de hasta 3 mm. Incluso preparación de la superficie soporte de placas de yeso laminado; replanteo, cortes, cantoneras de PVC, y juntas; acabado y limpieza final.
Incluye: Preparación de la superficie soporte. Replanteo de niveles y disposición de baldosas. Colocación de maestras o reglas. Preparación y aplicación del adhesivo. Formación de juntas de movimiento. Colocación de las baldosas. Ejecución de esquinas y rincones. Rejuntado de baldosas. Acabado y limpieza final.</t>
  </si>
  <si>
    <t>Uds.</t>
  </si>
  <si>
    <t>Largo</t>
  </si>
  <si>
    <t>Ancho</t>
  </si>
  <si>
    <t>Alto</t>
  </si>
  <si>
    <t>Parcial</t>
  </si>
  <si>
    <t>Subtotal</t>
  </si>
  <si>
    <t>Alicatado habitaciones humedas</t>
  </si>
  <si>
    <t>0</t>
  </si>
  <si>
    <t>Planta baja</t>
  </si>
  <si>
    <t>0</t>
  </si>
  <si>
    <t>Baño 1</t>
  </si>
  <si>
    <t>Aseo exterior</t>
  </si>
  <si>
    <t>Planta primera</t>
  </si>
  <si>
    <t>0</t>
  </si>
  <si>
    <t>Baño Ppal</t>
  </si>
  <si>
    <t>Baño 2</t>
  </si>
  <si>
    <t>RH</t>
  </si>
  <si>
    <t>Hornacinas</t>
  </si>
  <si>
    <t>RH010</t>
  </si>
  <si>
    <t>Ud</t>
  </si>
  <si>
    <t>Hornacina en baños</t>
  </si>
  <si>
    <t>Hornacina realizada en tabiqueria de pladur de dimensiones 600mm x 400mm x 160mm de profundidad para revestir</t>
  </si>
  <si>
    <t>RB</t>
  </si>
  <si>
    <t>Morteros industriales para revoco y enlucido</t>
  </si>
  <si>
    <t>RPG011</t>
  </si>
  <si>
    <t>m²</t>
  </si>
  <si>
    <t>Enlucido de yeso.</t>
  </si>
  <si>
    <t>Formación de revestimiento continuo interior de yeso, sobre paramento vertical, de hasta 3 m de altura, de 2 mm de espesor, formado por una capa de enlucido con pasta de yeso de aplicación en capa fina C6, que constituye la terminación o remate, aplicado sobre una superficie previamente guarnecida . Incluso, remates con rodapié, y montaje, desmontaje y retirada de andamios.
Incluye: Amasado del yeso fino. Ejecución del enlucido, extendiendo la pasta de yeso fino sobre la superficie previamente guarnecida.</t>
  </si>
  <si>
    <t>Uds.</t>
  </si>
  <si>
    <t>Largo</t>
  </si>
  <si>
    <t>Ancho</t>
  </si>
  <si>
    <t>Alto</t>
  </si>
  <si>
    <t>Parcial</t>
  </si>
  <si>
    <t>Subtotal</t>
  </si>
  <si>
    <t>muro divisorio dormitorios PB</t>
  </si>
  <si>
    <t>tabique mueble chimenea</t>
  </si>
  <si>
    <t>tabiques aseo</t>
  </si>
  <si>
    <t>RBA010</t>
  </si>
  <si>
    <t>m²</t>
  </si>
  <si>
    <t>Enfoscado de cemento sobre paramento exterior</t>
  </si>
  <si>
    <t>Enfoscado de cemento, a buena vista, aplicado sobre un paramento vertical exterior, acabado superficial rugoso, con mortero de cemento, tipo GP CSIII W1, previa colocación de malla antiálcalis en cambios de material y en los frentes de forjado.</t>
  </si>
  <si>
    <t>Uds.</t>
  </si>
  <si>
    <t>Largo</t>
  </si>
  <si>
    <t>Ancho</t>
  </si>
  <si>
    <t>Alto</t>
  </si>
  <si>
    <t>Parcial</t>
  </si>
  <si>
    <t>Subtotal</t>
  </si>
  <si>
    <t>Muros exteriores PB</t>
  </si>
  <si>
    <t>0</t>
  </si>
  <si>
    <t>Muro Oeste hasta piedra</t>
  </si>
  <si>
    <t>muro Este</t>
  </si>
  <si>
    <t>Muro norte terraza cubierta</t>
  </si>
  <si>
    <t>Muro puerta entrada casa</t>
  </si>
  <si>
    <t>P1</t>
  </si>
  <si>
    <t>0</t>
  </si>
  <si>
    <t>muros Este y Oeste</t>
  </si>
  <si>
    <t>Muros norte y sur</t>
  </si>
  <si>
    <t>RC</t>
  </si>
  <si>
    <t>Chapados y aplacados</t>
  </si>
  <si>
    <t>RAP003</t>
  </si>
  <si>
    <t>m²</t>
  </si>
  <si>
    <t>Aplacado de piedra</t>
  </si>
  <si>
    <t>Chapado en paramento vertical, hasta 3 m de altura, con placas de piedra según DF, pegadas al paramento soporte con adhesivo cementoso mejorado, C2 TE, con deslizamiento reducido y tiempo abierto ampliado, gris, rejuntado con mortero de juntas cementoso, CG1, para junta mínima (entre 1,5 y 3 mm), con la misma tonalidad de las piezas. Incluso preparación previa de las placas y el paramento soporte, formación de cajas, cortes, remates de cantos, realización de encuentros con otros materiales, juntas, crucetas de PVC y piezas especiales.
Incluye: Replanteo de las placas en el paramento conforme al despiece indicado. Preparación de la piedra natural y del paramento a revestir. Extendido de la pasta adhesiva sobre el paramento. Colocación de placas por hiladas, disponiendo crucetas de plástico en los vértices. Comprobación del aplomado, nivel y alineación de la hilada de placas. Colocación de las siguientes hiladas. Rejuntado. Limpieza final del paramento.</t>
  </si>
  <si>
    <t>Uds.</t>
  </si>
  <si>
    <t>Largo</t>
  </si>
  <si>
    <t>Ancho</t>
  </si>
  <si>
    <t>Alto</t>
  </si>
  <si>
    <t>Parcial</t>
  </si>
  <si>
    <t>Subtotal</t>
  </si>
  <si>
    <t>Muros dormitorios PB</t>
  </si>
  <si>
    <t>Muro exterior cocicna</t>
  </si>
  <si>
    <t>Muro cocina terraza</t>
  </si>
  <si>
    <t>RE</t>
  </si>
  <si>
    <t>Escaleras</t>
  </si>
  <si>
    <t>ERSA52abic</t>
  </si>
  <si>
    <t>m²</t>
  </si>
  <si>
    <t>Revestimiento Peldañeado de gres porcelánico.</t>
  </si>
  <si>
    <t>Peldaño realizado con baldosa de gres porcelánico 1200x1200 de 48 €/m² no esmaltado con junta mínima (1.5 - 3mm), tomado con adhesivo cementoso mejorado con fraguado rápido, deslizamiento reducido y deformable (C2 FT S1) y rejuntado con mortero de juntas cementoso mejorado (CG2), incluso cortes y limpieza, según Guía de la Baldosa Cerámica (Documento Reconocido por la Generalitat).</t>
  </si>
  <si>
    <t>Uds.</t>
  </si>
  <si>
    <t>Largo</t>
  </si>
  <si>
    <t>Ancho</t>
  </si>
  <si>
    <t>Alto</t>
  </si>
  <si>
    <t>Parcial</t>
  </si>
  <si>
    <t>Subtotal</t>
  </si>
  <si>
    <t>Escalones acceso puerta cancela</t>
  </si>
  <si>
    <t>Contrahuella esc acceso</t>
  </si>
  <si>
    <t>Escalones puerta entrada vivienda</t>
  </si>
  <si>
    <t>Contrahuella</t>
  </si>
  <si>
    <t>Escalones terraza cubierta</t>
  </si>
  <si>
    <t>Contrahuella terraza cubierta</t>
  </si>
  <si>
    <t>Escalones comedor</t>
  </si>
  <si>
    <t>Contrahuella</t>
  </si>
  <si>
    <t>E024</t>
  </si>
  <si>
    <t>Ud</t>
  </si>
  <si>
    <t>Peldañeado de madera maciza roble</t>
  </si>
  <si>
    <t>Peldaño de madera maciza de roble (Quercus robur), con certificado PEFC, de 900x300x42 mm, formado por tablero alistonado de lama continua, barnizado en taller con barniz sintético con acabado satinado, resistencia al deslizamiento 15&lt;Rd&lt;=35, clase 1, colocado mediante sistema de fijación oculta en zanca metálica de escalera. Incluso accesorios y elementos para fijación del peldaño.</t>
  </si>
  <si>
    <t>HYO020</t>
  </si>
  <si>
    <t>m</t>
  </si>
  <si>
    <t>Peldañeado de escalera con ladrillo cerámico hueco.</t>
  </si>
  <si>
    <t>Peldañeado de escalera con ladrillo cerámico hueco, recibido con mortero de cemento, industrial, M-5, sobre la losa o bóveda de escalera, como base para la posterior colocación del acabado de peldaños.
Incluye: Replanteo y trazado del peldañeado en muros. Tendido de cordel entre el primer peldaño y el último. Limpieza y humectación de la losa. Formación del peldañeado.</t>
  </si>
  <si>
    <t>Uds.</t>
  </si>
  <si>
    <t>Largo</t>
  </si>
  <si>
    <t>Ancho</t>
  </si>
  <si>
    <t>Alto</t>
  </si>
  <si>
    <t>Parcial</t>
  </si>
  <si>
    <t>Subtotal</t>
  </si>
  <si>
    <t>Escalera acceso canceñla</t>
  </si>
  <si>
    <t>Escalera terraza cubierta</t>
  </si>
  <si>
    <t>Escalera comedor</t>
  </si>
  <si>
    <t>Escalera acceso casa</t>
  </si>
  <si>
    <t>EHE010</t>
  </si>
  <si>
    <t>m²</t>
  </si>
  <si>
    <t>Losa de escalera</t>
  </si>
  <si>
    <t xml:space="preserve"> Losa de escalera de hormigón armado de 15 cm de espesor realizada con hormigón HA-25/B/20/XC2 fabricado en central, y vertido con cubilote, y acero UNE-EN 10080 B 500 S, con una cuantía aproximada de 18 kg/m²; montaje y desmontaje de sistema de encofrado, con acabado tipo industrial para revestir en su cara inferior y laterales, en planta de hasta 3 m de altura libre, formado por: superficie encofrante de tablones de madera de pino, amortizables en 10 usos, estructura soporte horizontal de tablones de madera de pino, amortizables en 10 usos y estructura soporte vertical de puntales metálicos, amortizables en 150 usos. Incluso alambre de atar, separadores y líquido desencofrante, para evitar la adherencia del hormigón al encofrado.
Incluye: Replanteo y marcado de niveles de plantas y rellanos. Montaje del sistema de encofrado. Colocación de las armaduras con separadores homologados. Vertido y compactación del hormigón. Curado del hormigón. Desmontaje del sistema de encofrado.</t>
  </si>
  <si>
    <t>Uds.</t>
  </si>
  <si>
    <t>Largo</t>
  </si>
  <si>
    <t>Ancho</t>
  </si>
  <si>
    <t>Alto</t>
  </si>
  <si>
    <t>Parcial</t>
  </si>
  <si>
    <t>Subtotal</t>
  </si>
  <si>
    <t>Losa escalera terraza</t>
  </si>
  <si>
    <t>Losa escalera acceso</t>
  </si>
  <si>
    <t>Losa escalones puerta vivienda</t>
  </si>
  <si>
    <t>Losa escalones salida comedor</t>
  </si>
  <si>
    <t>RF</t>
  </si>
  <si>
    <t>Pinturas en paramentos exteriores</t>
  </si>
  <si>
    <t>RFP010</t>
  </si>
  <si>
    <t>m²</t>
  </si>
  <si>
    <t>Aplicación manual de dos manos de pintura a la cal color blanco</t>
  </si>
  <si>
    <t>Aplicación manual de dos manos de pintura a la cal, color blanco, la primera mano diluida con un 30 a 40% de agua y la siguiente diluida con un 30% de agua o sin diluir, (rendimiento: 0,29 l/m² cada mano); previa aplicación de una mano de imprimación granulosa translúcida, sobre paramento exterior de mortero de cal o mortero bastardo de cal.</t>
  </si>
  <si>
    <t>Uds.</t>
  </si>
  <si>
    <t>Largo</t>
  </si>
  <si>
    <t>Ancho</t>
  </si>
  <si>
    <t>Alto</t>
  </si>
  <si>
    <t>Parcial</t>
  </si>
  <si>
    <t>Subtotal</t>
  </si>
  <si>
    <t>Muros exteriores PB</t>
  </si>
  <si>
    <t>0</t>
  </si>
  <si>
    <t>Muro Oeste hasta piedra</t>
  </si>
  <si>
    <t>muro Este</t>
  </si>
  <si>
    <t>Muro norte terraza cubierta</t>
  </si>
  <si>
    <t>Muro puerta entrada casa</t>
  </si>
  <si>
    <t>P1</t>
  </si>
  <si>
    <t>0</t>
  </si>
  <si>
    <t>muros Este y Oeste</t>
  </si>
  <si>
    <t>Muros norte y sur</t>
  </si>
  <si>
    <t>Techo terraza cubierta</t>
  </si>
  <si>
    <t>Techo paellero</t>
  </si>
  <si>
    <t>Techo escarones acceso vivienda</t>
  </si>
  <si>
    <t>RI</t>
  </si>
  <si>
    <t>Pinturas en paramentos interiores</t>
  </si>
  <si>
    <t>RIP035b</t>
  </si>
  <si>
    <t>m²</t>
  </si>
  <si>
    <t>Pintura horizontal techos</t>
  </si>
  <si>
    <t>Aplicación manual de dos manos de pintura plástica color blanco, acabado mate, textura lisa, la primera mano diluida con un 20% de agua y la siguiente sin diluir, (rendimiento: 0,1 l/m² cada mano); previa aplicación de una mano de imprimación a base de copolímeros acrílicos en suspensión acuosa, sobre paramento interior de yeso proyectado o placas de yeso laminado, horizontal, a más de 3 m de altura.
Incluye: Preparación del soporte. Aplicación de una mano de fondo. Aplicación de dos manos de acabado.</t>
  </si>
  <si>
    <t>Uds.</t>
  </si>
  <si>
    <t>Largo</t>
  </si>
  <si>
    <t>Ancho</t>
  </si>
  <si>
    <t>Alto</t>
  </si>
  <si>
    <t>Parcial</t>
  </si>
  <si>
    <t>Subtotal</t>
  </si>
  <si>
    <t>Techo PB sin hueco doble altura</t>
  </si>
  <si>
    <t>Techo PA</t>
  </si>
  <si>
    <t>RIP035c</t>
  </si>
  <si>
    <t>m²</t>
  </si>
  <si>
    <t>Pintura vertical</t>
  </si>
  <si>
    <t>Aplicación manual de dos manos de pintura plástica color blanco, acabado mate, textura lisa, la primera mano diluida con un 20% de agua y la siguiente sin diluir, (rendimiento: 0,1 l/m² cada mano); previa aplicación de una mano de imprimación a base de copolímeros acrílicos en suspensión acuosa, sobre paramento interior de yeso proyectado o placas de yeso laminado, vertical, de hasta 3 m de altura.
Incluye: Preparación del soporte. Aplicación de una mano de fondo. Aplicación de dos manos de acabado.</t>
  </si>
  <si>
    <t>Uds.</t>
  </si>
  <si>
    <t>Largo</t>
  </si>
  <si>
    <t>Ancho</t>
  </si>
  <si>
    <t>Alto</t>
  </si>
  <si>
    <t>Parcial</t>
  </si>
  <si>
    <t>Subtotal</t>
  </si>
  <si>
    <t>Pintura de habitaciones Secas</t>
  </si>
  <si>
    <t>0</t>
  </si>
  <si>
    <t>Acceso</t>
  </si>
  <si>
    <t>Salon</t>
  </si>
  <si>
    <t>Bajo escalera</t>
  </si>
  <si>
    <t>Dormitorio 2</t>
  </si>
  <si>
    <t>Dormitorio 1</t>
  </si>
  <si>
    <t>Pasillo a baño</t>
  </si>
  <si>
    <t>Cocina comedor</t>
  </si>
  <si>
    <t>Muro Escalera hasta pavimento P1</t>
  </si>
  <si>
    <t>Lavadero</t>
  </si>
  <si>
    <t>Planta Primera</t>
  </si>
  <si>
    <t>0</t>
  </si>
  <si>
    <t>Escalera</t>
  </si>
  <si>
    <t>Pasillo</t>
  </si>
  <si>
    <t>Dormitorio 3</t>
  </si>
  <si>
    <t>Dormitorio ppal.</t>
  </si>
  <si>
    <t>Vestidor</t>
  </si>
  <si>
    <t>RS</t>
  </si>
  <si>
    <t>Pavimentos</t>
  </si>
  <si>
    <t>RSG010</t>
  </si>
  <si>
    <t>m²</t>
  </si>
  <si>
    <t>Solado de baldosas cerámicas de gres porcelánico, en interior</t>
  </si>
  <si>
    <t>Pavimento interior de piezas de gres porcelánico esmaltado, de 1200x600x10 mm, simil madera, gama media, capacidad de absorción de agua E&lt;0,5%, grupo BIa, según UNE-EN 14411, con resistencia al deslizamiento 35&lt;Rd&lt;=45 según UNE-EN 16165 y resbaladicidad clase 2 según CTE. SOPORTE: de mortero de cemento. COLOCACIÓN: en capa fina y mediante encolado simple con adhesivo cementoso mejorado, C2 TE, según UNE-EN 12004, con deslizamiento reducido y tiempo abierto ampliado. REJUNTADO: con mortero de juntas cementoso mejorado, con absorción de agua reducida y resistencia elevada a la abrasión tipo CG 2 W A, color blanco, en juntas de 2 mm de espesor.
Incluye: Limpieza y comprobación de la superficie soporte. Replanteo de los niveles de acabado. Replanteo de la disposición de las piezas y juntas de movimiento. Aplicación del adhesivo. Colocación de las crucetas. Colocación de las piezas a punta de paleta. Formación de juntas de partición, perimetrales y estructurales. Rejuntado. Eliminación y limpieza del material sobrante. Limpieza final del pavimento.</t>
  </si>
  <si>
    <t>Uds.</t>
  </si>
  <si>
    <t>Largo</t>
  </si>
  <si>
    <t>Ancho</t>
  </si>
  <si>
    <t>Alto</t>
  </si>
  <si>
    <t>Parcial</t>
  </si>
  <si>
    <t>Subtotal</t>
  </si>
  <si>
    <t>Planta baja interior</t>
  </si>
  <si>
    <t>Planta Primera sin hueco doble altura</t>
  </si>
  <si>
    <t>RSG010c</t>
  </si>
  <si>
    <t>m²</t>
  </si>
  <si>
    <t>Solado de baldosas cerámicas de gres porcelánico, en exterior</t>
  </si>
  <si>
    <t>Pavimento exterior de piezas de gres porcelánico esmaltado, de 1200x600x10 mm, modelo Ivory gama media, de capacidad de absorción de agua E&lt;0,5%, grupo BIa, según UNE-EN 14411, con resistencia al deslizamiento 15&lt;Rd&lt;=35 según UNE-EN 16165 y resbaladicidad clase 1 según CTE. SOPORTE: de mortero de cemento. COLOCACIÓN: en capa fina y mediante encolado simple con adhesivo cementoso mejorado, C2 TE, según UNE-EN 12004, con deslizamiento reducido y tiempo abierto ampliado. REJUNTADO: con mortero de juntas cementoso mejorado, con absorción de agua reducida y resistencia elevada a la abrasión tipo CG 2 W A, color blanco, en juntas de 2 mm de espesor.
Incluye: Limpieza y comprobación de la superficie soporte. Replanteo de los niveles de acabado. Replanteo de la disposición de las piezas y juntas de movimiento. Aplicación del adhesivo. Colocación de las crucetas. Colocación de las piezas a punta de paleta. Formación de juntas de partición, perimetrales y estructurales. Rejuntado. Eliminación y limpieza del material sobrante. Limpieza final del pavimento.</t>
  </si>
  <si>
    <t>Uds.</t>
  </si>
  <si>
    <t>Largo</t>
  </si>
  <si>
    <t>Ancho</t>
  </si>
  <si>
    <t>Alto</t>
  </si>
  <si>
    <t>Parcial</t>
  </si>
  <si>
    <t>Subtotal</t>
  </si>
  <si>
    <t>Terraza cubierta</t>
  </si>
  <si>
    <t>losa acceso</t>
  </si>
  <si>
    <t>RSS100</t>
  </si>
  <si>
    <t>m</t>
  </si>
  <si>
    <t>Rodapie semirrigido de PVC de 90mm</t>
  </si>
  <si>
    <t>Rodapié semirrígido de PVC expandido, de 100 mm de altura y 5 mm de espesor, color a elegir. Colocación en obra: con adhesivo.
Incluye: Limpieza y preparación de la superficie soporte. Replanteo. Corte, colocación y fijación del rodapié.</t>
  </si>
  <si>
    <t>Uds.</t>
  </si>
  <si>
    <t>Largo</t>
  </si>
  <si>
    <t>Ancho</t>
  </si>
  <si>
    <t>Alto</t>
  </si>
  <si>
    <t>Parcial</t>
  </si>
  <si>
    <t>Subtotal</t>
  </si>
  <si>
    <t>Planta baja</t>
  </si>
  <si>
    <t>Planta Primera</t>
  </si>
  <si>
    <t>RT</t>
  </si>
  <si>
    <t>Falsos techos</t>
  </si>
  <si>
    <t>RTC048</t>
  </si>
  <si>
    <t>m²</t>
  </si>
  <si>
    <t>Falso techo continuo suspendido, liso, situado a una altura meno</t>
  </si>
  <si>
    <t>Falso techo continuo suspendido, liso, situado a una altura menor de 4 m, con nivel de calidad del acabado estándar (Q2). Sistema Placo Hydro Plus "PLACO", constituido por: ESTRUCTURA: estructura metálica de perfiles primarios F530 "PLACO"; PLACAS: una capa de placas de yeso laminado GM-FH1 / UNE-EN 15283-2 - 1200 / 2000 / 12,5 / con los bordes longitudinales afinados, Glasroc X 13 "PLACO". Incluso fijaciones para el anclaje de los perfiles, tornillería para la fijación de las placas, pasta de secado Promix Hydro "PLACO", cinta microperforada, de fibra de vidrio, "PLACO" y accesorios de montaje.
Incluye: Replanteo de los ejes de la estructura metálica. Señalización de los puntos de anclaje al forjado o elemento soporte. Nivelación y suspensión de los perfiles primarios. Corte de las placas. Fijación de las placas. Resolución de encuentros y puntos singulares. Tratamiento de juntas.</t>
  </si>
  <si>
    <t>Uds.</t>
  </si>
  <si>
    <t>Largo</t>
  </si>
  <si>
    <t>Ancho</t>
  </si>
  <si>
    <t>Alto</t>
  </si>
  <si>
    <t>Parcial</t>
  </si>
  <si>
    <t>Subtotal</t>
  </si>
  <si>
    <t>Techo PB sin hueco doble altura</t>
  </si>
  <si>
    <t>Techo PA</t>
  </si>
  <si>
    <t>RTC060</t>
  </si>
  <si>
    <t>m</t>
  </si>
  <si>
    <t>Falsa viga decorativa de poliexpan</t>
  </si>
  <si>
    <t>Suministro y colocación falsa viga decorativa de poliexpan pintada simil madera.</t>
  </si>
  <si>
    <t>Uds.</t>
  </si>
  <si>
    <t>Largo</t>
  </si>
  <si>
    <t>Ancho</t>
  </si>
  <si>
    <t>Alto</t>
  </si>
  <si>
    <t>Parcial</t>
  </si>
  <si>
    <t>Subtotal</t>
  </si>
  <si>
    <t>Vigas central 30*30</t>
  </si>
  <si>
    <t>vigas 12*20</t>
  </si>
  <si>
    <t>S</t>
  </si>
  <si>
    <t>Señalización y equipamiento</t>
  </si>
  <si>
    <t>SA</t>
  </si>
  <si>
    <t>Aparatos sanitarios</t>
  </si>
  <si>
    <t>SAB005b</t>
  </si>
  <si>
    <t>Ud</t>
  </si>
  <si>
    <t>Bañera.</t>
  </si>
  <si>
    <t>Bañera acrílica, gama básica, color blanco, de 170x75 cm, sin asas. Incluso silicona para sellado de juntas.
Incluye: Replanteo. Colocación y fijación del aparato. Montaje del desagüe. Conexión a la red de evacuación. Comprobación de su correcto funcionamiento. Sellado de juntas.</t>
  </si>
  <si>
    <t>SAD025</t>
  </si>
  <si>
    <t>m2</t>
  </si>
  <si>
    <t>Plato de ducha realizado in situ</t>
  </si>
  <si>
    <t>Plato de ducha realizado in situ, compuesto de las siguientes partidas
-Formación de pendientes en ducha de obra, mediante encintado de limahoyas y juntas con maestras de mortero de cemento, con una pendiente mayor del 2% y posterior relleno con mortero de cemento, industrial, con aditivo hidrófugo, M-7,5, de 4 cm de espesor medio, acabado fratasado.
-Impermeabilización de paramentos verticales y horizontales de ducha de obra con sumidero, sistema Dry50 "REVESTECH", compuesta por, kit Dry50 Sumi Luxe 225, formado por lámina impermeabilizante flexible tipo EVAC de 1500x1500 mm compuesta de una doble hoja de poliolefina termoplástica con acetato de vinil etileno, con ambas caras revestidas de fibras de poliéster no tejidas, de 0,52 mm de espesor y 335 g/m², según UNE-EN 13956, con unión termosellada a el sumidero sifónico de PVC de 82 mm de altura, salida horizontal de 40 mm de diámetro, con rejilla para empotrar de acero inoxidable de 110x110 mm, y lámina impermeabilizante flexible tipo CPE, Ecodry50 30, compuesta de una doble hoja de poliolefina termoplástica con acetato de vinil etileno, con ambas caras revestidas de fibras de poliéster reciclado no tejidas, de 0,52 mm de espesor y 335 g/m², fijada al soporte con adhesivo cementoso mejorado, deformable y tixotrópico, C2 TE S1. Incluso complementos de refuerzo en tratamiento de puntos singulares mediante el uso de piezas especiales "REVESTECH" para la resolución de ángulos internos (Ecodry Cornerin), resolución de uniones y sellado de juntas elásticas (puntos de penetración de tuberías en el revestimiento, encuentros entre el paramento y la ducha de obra, etc.), con adhesivo Seal Plus.
-Pavimento interior de piezas de gres porcelánico esmaltado, de 1200x600x10 mm, gama media, 
-Desagüe de ducha lineal 600 x 140 mm acero inoxidable</t>
  </si>
  <si>
    <t>SAI005b</t>
  </si>
  <si>
    <t>Ud</t>
  </si>
  <si>
    <t>Inodoro.</t>
  </si>
  <si>
    <t>Inodoro de porcelana sanitaria, con tanque bajo, gama básica, color blanco, con asiento y tapa lacados, mecanismo de descarga de 3/6 litros, con juego de fijación y codo de evacuación. Incluso silicona para sellado de juntas.
Incluye: Replanteo. Colocación y fijación del aparato. Montaje del desagüe. Conexión a la red de evacuación. Montaje de la grifería. Conexión a la red de agua fría. Comprobación de su correcto funcionamiento. Sellado de juntas.</t>
  </si>
  <si>
    <t>SAL045A</t>
  </si>
  <si>
    <t>Ud</t>
  </si>
  <si>
    <t>Mueble de lavabo 0.80m</t>
  </si>
  <si>
    <t>Mueble de baño (módulo base), para lavabo de sobremueble, con acabado lacado brillante blanco, de 800 mm de anchura. Incluso elementos de fijación.INCLUIDO LAVABO.</t>
  </si>
  <si>
    <t>SAL045</t>
  </si>
  <si>
    <t>Ud</t>
  </si>
  <si>
    <t>Mueble Lavabo 1m</t>
  </si>
  <si>
    <t>Mueble de baño (módulo base), para lavabo de sobremueble, con acabado lacado brillante blanco, de 1000 mm de anchura. Incluso elementos de fijación. INCLUIDO LAVABO.</t>
  </si>
  <si>
    <t>SAL045B</t>
  </si>
  <si>
    <t>UD</t>
  </si>
  <si>
    <t>Mueble de lavabo 1.40m</t>
  </si>
  <si>
    <t>Mueble de baño (módulo base), para lavabo de sobremueble, con acabado lacado brillante blanco, de 1400 mm de anchura. Incluso elementos de fijación.INCLUIDO LAVABO.</t>
  </si>
  <si>
    <t>SAL045C</t>
  </si>
  <si>
    <t>Ud</t>
  </si>
  <si>
    <t>Mueble de lavabo 0.50m</t>
  </si>
  <si>
    <t>Mueble de baño (módulo base), para lavabo de empotrar en encimera, de tablero MDF hidrófugo de 22 mm y acabados polilaminados, de 650 mm de anchura. Incluso elementos de fijación. INCLUIDO LAVABO.</t>
  </si>
  <si>
    <t>SN</t>
  </si>
  <si>
    <t>Encimeras</t>
  </si>
  <si>
    <t>SNG010</t>
  </si>
  <si>
    <t>m2</t>
  </si>
  <si>
    <t>Encimera bancada de aglomerado de cuarzo.</t>
  </si>
  <si>
    <t>Encimera de aglomerado de cuarzo, acabado pulido, de 350 cm de longitud, 60 cm de anchura y 2 cm de espesor, canto simple recto, con los bordes ligeramente biselados, formación de 1 hueco con sus cantos pulidos, y copete perimetral de 5 cm de altura y 2 cm de espesor, con el borde recto. Incluso replanteo; soportes y anclajes de acero galvanizado; resolución de esquinas, ángulos, cantos y remates; uniones entre piezas y encuentros con paramentos, sellados con silicona; nivelado y acuñado; eliminación de restos y limpieza.
Incluye: Replanteo y trazado de la encimera. Colocación y fijación de los soportes y anclajes. Colocación, ajuste y fijación de las piezas que componen la encimera. Fijación del faldón a la encimera.</t>
  </si>
  <si>
    <t>Uds.</t>
  </si>
  <si>
    <t>Largo</t>
  </si>
  <si>
    <t>Ancho</t>
  </si>
  <si>
    <t>Alto</t>
  </si>
  <si>
    <t>Parcial</t>
  </si>
  <si>
    <t>Subtotal</t>
  </si>
  <si>
    <t>Encimera bancada</t>
  </si>
  <si>
    <t>Encimera peninsula</t>
  </si>
  <si>
    <t>Encimera lavadero</t>
  </si>
  <si>
    <t>Encimera cocina exterior</t>
  </si>
  <si>
    <t>Encimera isla exterior</t>
  </si>
  <si>
    <t>Aplacado</t>
  </si>
  <si>
    <t>SC</t>
  </si>
  <si>
    <t>Cocinas/galerías</t>
  </si>
  <si>
    <t>SCE030</t>
  </si>
  <si>
    <t>Ud</t>
  </si>
  <si>
    <t>Placa de cocina inducción con extraccion de humos</t>
  </si>
  <si>
    <t>Placa vitrocerámica para encimera, polivalente básica. Incluso sellado de la junta perimetral con la encimera. Totalmente montada, instalada, conexionada y comprobada.
Incluye: Replanteo mediante plantilla. Fijación en paramento mediante elementos de anclaje. Colocación del aparato. Sellado de juntas. Conexión a la red eléctrica.</t>
  </si>
  <si>
    <t>SCE030B</t>
  </si>
  <si>
    <t>Ud</t>
  </si>
  <si>
    <t>Placa de gas dos fuegos</t>
  </si>
  <si>
    <t>Placa de gas dos fuegos marca Miele CS 1012-2 G Acero inoxidable. Totalmente montado, instalado, conexionado y comprobado.
Incluye: Replanteo mediante plantilla. Fijación en paramento mediante elementos de anclaje. Colocación del aparato. Conexión a bombona de gas.</t>
  </si>
  <si>
    <t>SCE040b</t>
  </si>
  <si>
    <t>Ud</t>
  </si>
  <si>
    <t>Horno eléctrico, multifunción.</t>
  </si>
  <si>
    <t>Horno eléctrico, multifunción. Marca Miele H 7264 B Negro obsidian. Totalmente montado, instalado, conexionado y comprobado.
Incluye: Replanteo mediante plantilla. Fijación en paramento mediante elementos de anclaje. Colocación del aparato. Conexión a la red eléctrica.</t>
  </si>
  <si>
    <t>SCE050</t>
  </si>
  <si>
    <t>Ud</t>
  </si>
  <si>
    <t>Lavavajillas</t>
  </si>
  <si>
    <t xml:space="preserve"> Lavavajillas totalmente integrable 60 cm marca Siemmens - iQ500. otalmente montada, instalada, conexionada y comprobada.
Incluye: Replanteo mediante plantilla. Fijación en paramento mediante elementos de anclaje. Colocación del aparato. Sellado de juntas. Conexión a la red eléctrica.</t>
  </si>
  <si>
    <t>SCE060</t>
  </si>
  <si>
    <t>Ud</t>
  </si>
  <si>
    <t>Lavadora</t>
  </si>
  <si>
    <t>Lavadora marca Miele WEI865 WCS PWash&amp;TDos&amp;9kg Blanco loto A I 9 kg I 1.600 r. p. m. I Dosificación autom I QuickPowerWash   Higiene virus. Totalmente montada, instalada, conexionada y comprobada.
Incluye: Replanteo mediante plantilla. Fijación en paramento mediante elementos de anclaje. Colocación del aparato. Sellado de juntas. Conexión a la red eléctrica.</t>
  </si>
  <si>
    <t>SCE080</t>
  </si>
  <si>
    <t>Ud</t>
  </si>
  <si>
    <t>Secadora</t>
  </si>
  <si>
    <t>SEcadora marca Miele TCL780WP EcoSpeed&amp;Steam&amp;9kg Blanco loto 9 kg I ComfortSensor I SteamCare I SilenceDrum I DryCare 40. Totalmente montada, instalada, conexionada y comprobada.
Incluye: Replanteo mediante plantilla. Fijación en paramento mediante elementos de anclaje. Colocación del aparato. Sellado de juntas. Conexión a la red eléctrica.</t>
  </si>
  <si>
    <t>SCF010A</t>
  </si>
  <si>
    <t>Ud</t>
  </si>
  <si>
    <t>Fregadero</t>
  </si>
  <si>
    <t>Fregadero de acero inoxidable para instalación en encimera, de 1 cubeta, de 600x490 mm, con válvula de desagüe, para encimera de cocina, equipado con grifería monomando con cartucho cerámico para fregadero, gama básica, acabado cromado, compuesta de caño giratorio, aireador y enlaces de alimentación flexibles, válvula con desagüe y sifón. Incluso conexión a las redes de agua fría y caliente y a la red de evacuación existentes, fijación del aparato y sellado con silicona.
Incluye: Replanteo y trazado en el paramento soporte de la situación del aparato. Colocación, nivelación y fijación de los elementos de soporte. Nivelación, aplomado y colocación del aparato. Conexión a la red de evacuación. Montaje de la grifería. Conexión a las redes de agua fría y caliente. Montaje de accesorios y complementos. Sellado de juntas. Comprobación de su correcto funcionamiento.</t>
  </si>
  <si>
    <t>SCF010</t>
  </si>
  <si>
    <t>Ud</t>
  </si>
  <si>
    <t>Fregadero.</t>
  </si>
  <si>
    <t>Fregadero de acero inoxidable para instalación en encimera, de 1 cubeta, de 440x440 mm, con válvula de desagüe, para encimera de cocina, equipado con grifería monomando con cartucho cerámico para fregadero, gama básica, acabado cromado, compuesta de caño giratorio, aireador y enlaces de alimentación flexibles, válvula con desagüe y sifón. Incluso conexión a las redes de agua fría y caliente y a la red de evacuación existentes, fijación del aparato y sellado con silicona.
Incluye: Replanteo y trazado en el paramento soporte de la situación del aparato. Colocación, nivelación y fijación de los elementos de soporte. Nivelación, aplomado y colocación del aparato. Conexión a la red de evacuación. Montaje de la grifería. Conexión a las redes de agua fría y caliente. Montaje de accesorios y complementos. Sellado de juntas. Comprobación de su correcto funcionamiento.</t>
  </si>
  <si>
    <t>SCM020b</t>
  </si>
  <si>
    <t>Ud</t>
  </si>
  <si>
    <t>Mobiliario completo de cocina.</t>
  </si>
  <si>
    <t>Mobiliario completo en cocina según diseño en planos, realizado con frentes de cocina con recubrimiento estratificado formado por varias capas de papel kraft impregnadas en resina fenólica, acabado brillo con papel decorativo de color blanco, impregnado con resina de poliéster, núcleo de tablero de partículas tipo P3 no estructural, para uso en ambiente húmedo, de 19 mm de espesor y cantos termoplásticos de PVC; montados sobre los cuerpos de los muebles constituidos por núcleo de tablero de partículas tipo P2 de interior, para uso en ambiente seco, de 16 mm de espesor, chapa trasera de 6 mm de espesor, con recubrimiento melamínico acabado brillo con papel decorativo de color beige, impregnado con resina melamínica y cantos termoplásticos de ABS. Incluso montaje de cajones y baldas del mismo material que el cuerpo, bisagras, patas regulables para muebles bajos guías de cajones y otros herrajes de calidad básica, instalados en los cuerpos de los muebles y tiradores, pomos, sistemas de apertura automática, y otros herrajes de la serie básica, fijados en los frentes de cocina.
Incluye: 
Mueble bajo de ancho 800mm x fondo 600mm para fregadero
4 Muebles bajo con caceroleros de ancho 600x fondo 600mm
Mueble bajo ciego rincon de ancho 1000mm x fondo 600mm
2 Mueble bajo de ancho 500x fondo 800mm diseño especial.
Torre horno microondas con caceroleros abajo y puerta arriba.
4 Mueble altos de 600mm de ancho x 900mm de alto
Mueble abierto alto segun diseño.
Costados y zócalos incluidos.</t>
  </si>
  <si>
    <t>IUE022</t>
  </si>
  <si>
    <t>Griferías</t>
  </si>
  <si>
    <t>SGB020b</t>
  </si>
  <si>
    <t>Ud</t>
  </si>
  <si>
    <t>Grifería para ducha.</t>
  </si>
  <si>
    <t>Grifería monomando formada por grifo mezclador monomando mural para ducha, de latón, acabado cromado, con cartucho cerámico, aireador, inversor, equipo de ducha formado por mango de ducha y flexible de latón. Incluso elementos de conexión, válvula antirretorno y dos llaves de paso.
Incluye: Replanteo. Colocación. Conexionado y comprobación de su correcto funcionamiento.</t>
  </si>
  <si>
    <t>SGB020A</t>
  </si>
  <si>
    <t>Ud</t>
  </si>
  <si>
    <t>Grifería monomando para bañera</t>
  </si>
  <si>
    <t>Grifería monomando formada por grifo mezclador monomando mural para baño/ducha, de latón, acabado cromado, con cartucho cerámico, aireador, inversor, equipo de ducha formado por mango de ducha y flexible de latón. Incluso elementos de conexión, válvula antirretorno y dos llaves de paso.</t>
  </si>
  <si>
    <t>SGF020</t>
  </si>
  <si>
    <t>Ud</t>
  </si>
  <si>
    <t>Grifería para fregadero.</t>
  </si>
  <si>
    <t>Grifería monomando formada por grifo mezclador monomando de repisa para fregadero, gama básica, de latón, acabado cromado, con cartucho cerámico, caño alto giratorio y aireador. Incluso elementos de conexión, enlaces de alimentación flexibles de 3/8" de diámetro y 350 mm de longitud, válvula antirretorno y dos llaves de paso.
Incluye: Replanteo. Colocación. Conexionado. Comprobación de su correcto funcionamiento.</t>
  </si>
  <si>
    <t>Uds.</t>
  </si>
  <si>
    <t>Largo</t>
  </si>
  <si>
    <t>Ancho</t>
  </si>
  <si>
    <t>Alto</t>
  </si>
  <si>
    <t>Parcial</t>
  </si>
  <si>
    <t>Subtotal</t>
  </si>
  <si>
    <t>Lavadero</t>
  </si>
  <si>
    <t>Cocina exteiror</t>
  </si>
  <si>
    <t>SGF020A</t>
  </si>
  <si>
    <t>Ud</t>
  </si>
  <si>
    <t>Griferia para fregadero</t>
  </si>
  <si>
    <t>Grifería monomando formada por grifo mezclador monomando de repisa para fregadero, acabado cromado, con cartucho cerámico, caño alto giratorio y aireador. Incluso elementos de conexión, enlaces de alimentación flexibles de 3/8" de diámetro y 350 mm de longitud, válvula antirretorno y dos llaves de paso.
Incluye: Replanteo. Colocación. Conexionado. Comprobación de su correcto funcionamiento.</t>
  </si>
  <si>
    <t>Uds.</t>
  </si>
  <si>
    <t>Largo</t>
  </si>
  <si>
    <t>Ancho</t>
  </si>
  <si>
    <t>Alto</t>
  </si>
  <si>
    <t>Parcial</t>
  </si>
  <si>
    <t>Subtotal</t>
  </si>
  <si>
    <t>Griferia cocina casa</t>
  </si>
  <si>
    <t>SGL020</t>
  </si>
  <si>
    <t>Ud</t>
  </si>
  <si>
    <t>Grifería para lavabo.</t>
  </si>
  <si>
    <t>Grifería monomando formada por grifo mezclador monomando de repisa para lavabo, gama media, de latón, acabado cromado, con cartucho cerámico, aireador y con desagüe automático. Incluso elementos de conexión, enlaces de alimentación flexibles de 3/8" de diámetro y 350 mm de longitud, válvula antirretorno y dos llaves de paso.
Incluye: Replanteo. Colocación. Conexionado. Comprobación de su correcto funcionamiento.</t>
  </si>
  <si>
    <t>SGL020C</t>
  </si>
  <si>
    <t>Ud</t>
  </si>
  <si>
    <t>Columna de ducha exterior piscina</t>
  </si>
  <si>
    <t>Columna de Ducha exterior de Acero INOX S316/Griferia Exterior para Piscina/Jardin/SPA/Con Luz Led Que Genera el Movimiento del Agua(Acero Cepillado)</t>
  </si>
  <si>
    <t>SI</t>
  </si>
  <si>
    <t>Indicadores, marcados, rotulaciones, ...</t>
  </si>
  <si>
    <t>SZB015</t>
  </si>
  <si>
    <t>Ud</t>
  </si>
  <si>
    <t>Buzón exterior, cuerpo y puerta de acero galvanizado acabado nat</t>
  </si>
  <si>
    <t>Buzón exterior, cuerpo y puerta de acero galvanizado acabado natural, con apertura hacia abajo, de 160x475x225 mm, sobre soporte. Incluso cerradura y llaves.
Incluye: Replanteo. Colocación del soporte vertical. Colocación y fijación sobre el soporte.</t>
  </si>
  <si>
    <t>U</t>
  </si>
  <si>
    <t>Urbanización interior de la parcela</t>
  </si>
  <si>
    <t>UP</t>
  </si>
  <si>
    <t>Piscinas</t>
  </si>
  <si>
    <t>UPP1</t>
  </si>
  <si>
    <t>PA</t>
  </si>
  <si>
    <t>Construcción de piscina</t>
  </si>
  <si>
    <t>CONSTRUCCIÓN VASO DE PISCINA DIMENSIONES DE 4,50 X 3m con una profundidad media de 1,50 m Y DE FORMA CUADRADA
De hormigón gunitado en paredes 20 y fondo piscina 25 cm. con encofrado a una cara (EL HORMIGÓN TENDRA UNA DOSIFICACIÓN D-400)
EMPARRILLADO De acero, varilla de doble mallazo en cuadrículas de 15x15X8 tanto ensolera como en muros, de acuerdo con el calculo de resistencia
refuerzos del 10
ENLUCIDOS El interior de la piscina se mastreará con arenas vivas, los vértices; así como la unión de muros con solera serán cóncavos.
CORONACION - cerámica
IMPERMEABILIZACION con mortero cementoso bicomponente, elástico, 3 pasadas con rodillo, de la casa MAPEI con malla de fibra de vidrio anti-álcalis.
Formación de escaleras de obra en el interior de la piscina según plano.
NO INCLUYE REVESTIMIENTO PISCINA</t>
  </si>
  <si>
    <t>UPP2</t>
  </si>
  <si>
    <t>PA</t>
  </si>
  <si>
    <t>Equipo de filtración</t>
  </si>
  <si>
    <t>Equipo de filtración formado por:
-Filtros monocapa bobinados modelo vesubio de astralpool de 600 salida 63 velocidad de filtración 14000 l/hora, salida de filtro diámetro 63 1 unidad de filtros de 600 con válvula selectora 6 vías.
-Bombas centrífugas modelo victoria plus cierre mecánico en acero inoxidable. 
Motor protección ip-54 / Eje de acero inoxidable aisi 316  / Prefiltro incorporado / Cesto de acero inoxidable aisi-304 / Conexiones din 250-p. N.15p  /Potencia conexión 230/400 v. Potencia 1 cv 
-1 unidad de bombas autoaspirante 
-Sumidero de fondo de poliéster y fibra de vidrio 200x200mm. Con rejilla de acero inox. Aisi-316 salida 63
-Arena de sílex y cargas filtrantes de granulometría grano 0,5mm. Y 1mm. Y 3mm. 
-Boquillas impulsión en paredes piscina con pasamanos y boquillas oscilantes. 
-Toma de barredera boquillas de presión para tuberias de 63 diámetro. En abs 
-Suministro e instalación de colector de aspiración a bombas con llaves de corte y retención por bomba. Instalación tubería a desagüe diámetro 63 y 50 aliviaderos conectar a filtros a aspiración e impulsión y desagües. Vertido de arena y puesta en marcha de la piscina. 
-Skimmer para piscina de hormigón con tapa redonda. 
-Cuadro eléctrico para bombas con diferencial térmicos guardamotor, reloj programador, protecciones e instalado y transformadores focos. 
-Iluminación, focos acuáticos de iluminación interior vaso piscina, con focos de leds blancos. Cableado, macarrón y transformadores. 
-Regulador de nivel de pvc blanco 
-Escalera de acero inoxidable de 4 peldaños colocada con toma de tierra</t>
  </si>
  <si>
    <t>UPP4</t>
  </si>
  <si>
    <t>PA</t>
  </si>
  <si>
    <t>Equipo de electrólisis salina y controlador de pH</t>
  </si>
  <si>
    <t>Equipo de electrólisis salina y controlador de pH:
- Control de pH de reducido tamaño, diseñado para evitar el efecto sifón.
- Electrólisis de sal autolimpiantes mediante inversión de polaridad.
- Sal gruesa para tirar a la piscina.</t>
  </si>
  <si>
    <t>UPP6</t>
  </si>
  <si>
    <t>PA</t>
  </si>
  <si>
    <t>Revestimiento interior piscina</t>
  </si>
  <si>
    <t>Revestimiento interior piscina</t>
  </si>
  <si>
    <t>UV</t>
  </si>
  <si>
    <t>Cerramientos exteriores</t>
  </si>
  <si>
    <t>ADE010b</t>
  </si>
  <si>
    <t>m³</t>
  </si>
  <si>
    <t>Excavación de zanjas para cimentaciones hasta una profundidad de</t>
  </si>
  <si>
    <t>Excavación de zanjas para cimentaciones hasta una profundidad de 2 m, en cualquier tipo de terreno, con medios mecánicos, y carga a camión.
Incluye: Replanteo general y fijación de los puntos y niveles de referencia. Colocación de las camillas en las esquinas y extremos de las alineaciones. Excavación en sucesivas franjas horizontales y extracción de tierras. Refinado de fondos y laterales a mano, con extracción de las tierras. Carga a camión de los materiales excavados.</t>
  </si>
  <si>
    <t>Uds.</t>
  </si>
  <si>
    <t>Largo</t>
  </si>
  <si>
    <t>Ancho</t>
  </si>
  <si>
    <t>Alto</t>
  </si>
  <si>
    <t>Parcial</t>
  </si>
  <si>
    <t>Subtotal</t>
  </si>
  <si>
    <t>Zapata muro cierre linde sur</t>
  </si>
  <si>
    <t>0</t>
  </si>
  <si>
    <t>60x40</t>
  </si>
  <si>
    <t>CHH005</t>
  </si>
  <si>
    <t>m³</t>
  </si>
  <si>
    <t>Hormigón HL-150/B/20, fabricado in situ</t>
  </si>
  <si>
    <t>Capa de hormigón de limpieza y nivelado de fondos de cimentación, de 10 cm de espesor, de hormigón HL-150/B/20, fabricado in situ y vertido en el fondo de la excavación previamente realizada.</t>
  </si>
  <si>
    <t>Uds.</t>
  </si>
  <si>
    <t>Largo</t>
  </si>
  <si>
    <t>Ancho</t>
  </si>
  <si>
    <t>Alto</t>
  </si>
  <si>
    <t>Parcial</t>
  </si>
  <si>
    <t>Subtotal</t>
  </si>
  <si>
    <t>Hormigón-Viga rectangular</t>
  </si>
  <si>
    <t>0</t>
  </si>
  <si>
    <t>400 x 400 mm</t>
  </si>
  <si>
    <t>CSV010b</t>
  </si>
  <si>
    <t>m³</t>
  </si>
  <si>
    <t>Zapata muro parcela</t>
  </si>
  <si>
    <t>Zapata corrida de cimentación de sección en "T" invertida, de hormigón armado, realizada en excavación previa, con hormigón HA-25/B/20/IIa fabricado in situ y acero UNE-EN 10080 B 500 S, con una cuantía aproximada de 100 kg/m³. Incluso armaduras de espera de los pilares u otros elementos, alambre de atar, y separadores.</t>
  </si>
  <si>
    <t>Uds.</t>
  </si>
  <si>
    <t>Largo</t>
  </si>
  <si>
    <t>Ancho</t>
  </si>
  <si>
    <t>Alto</t>
  </si>
  <si>
    <t>Parcial</t>
  </si>
  <si>
    <t>Subtotal</t>
  </si>
  <si>
    <t>Linde vecino sur</t>
  </si>
  <si>
    <t>UVM010</t>
  </si>
  <si>
    <t>m</t>
  </si>
  <si>
    <t>Muro de fábrica para vallado de parcela 1 metro de alto</t>
  </si>
  <si>
    <t>Muro vallado de parcela formado por muro continuo, entre 1.00m y 1,50 m de alto  y de 20 cm de espesor de fábrica de bloque hueco de hormigón, para revestir, color gris, 40x20x20 cm, resistencia normalizada R10 (10 N/mm²), con juntas horizontales y verticales de 10 mm de espesor, recibida con mortero de cemento industrial, color gris, M-5, suministrado a granel.</t>
  </si>
  <si>
    <t>Uds.</t>
  </si>
  <si>
    <t>Largo</t>
  </si>
  <si>
    <t>Ancho</t>
  </si>
  <si>
    <t>Alto</t>
  </si>
  <si>
    <t>Parcial</t>
  </si>
  <si>
    <t>Subtotal</t>
  </si>
  <si>
    <t>Muro respalbo banco terraza norte</t>
  </si>
  <si>
    <t>muro divisorio con garage</t>
  </si>
  <si>
    <t>UVM010b</t>
  </si>
  <si>
    <t>m</t>
  </si>
  <si>
    <t>Muro de fábrica para vallado de parcela 2 metros de alto</t>
  </si>
  <si>
    <t>muro vallado de parcela formado por muro continuo, de 2,3 m de altura y de 20 cm de espesor de fábrica de bloque hueco de hormigón, para revestir, color gris, 40x20x20 cm, resistencia normalizada R10 (10 N/mm²), con juntas horizontales y verticales de 10 mm de espesor, recibida con mortero de cemento confeccionado en obra, con 250 kg/m³ de cemento, color gris, dosificación 1:6, suministrado en sacos</t>
  </si>
  <si>
    <t>Uds.</t>
  </si>
  <si>
    <t>Largo</t>
  </si>
  <si>
    <t>Ancho</t>
  </si>
  <si>
    <t>Alto</t>
  </si>
  <si>
    <t>Parcial</t>
  </si>
  <si>
    <t>Subtotal</t>
  </si>
  <si>
    <t>Muro sur, trasera de paellero</t>
  </si>
  <si>
    <t>muro cierre cancela</t>
  </si>
  <si>
    <t>UVM010D</t>
  </si>
  <si>
    <t>m</t>
  </si>
  <si>
    <t>Muro de fabrica para vallado de parcela de 1m de alto de ladrill</t>
  </si>
  <si>
    <t>Muro vallado de parcela formado por muro continuo, de 1,3 m de altura y de 11 cm de espesor de fábrica de ladrillo cerámico hueco triple, para revestir, 33x16x11 cm, con juntas horizontales y verticales de 10 mm de espesor, recibida con mortero de cemento confeccionado en obra, con 250 kg/m³ de cemento, color gris, dosificación 1:6, suministrado en sacos</t>
  </si>
  <si>
    <t>Uds.</t>
  </si>
  <si>
    <t>Largo</t>
  </si>
  <si>
    <t>Ancho</t>
  </si>
  <si>
    <t>Alto</t>
  </si>
  <si>
    <t>Parcial</t>
  </si>
  <si>
    <t>Subtotal</t>
  </si>
  <si>
    <t>jardinera pisicna paellero</t>
  </si>
  <si>
    <t>Jardinera palmera</t>
  </si>
  <si>
    <t>Jardinera Oeste escalera cancela</t>
  </si>
  <si>
    <t>jardinera division terraza y garage</t>
  </si>
  <si>
    <t>murete final garage</t>
  </si>
  <si>
    <t>RBA010</t>
  </si>
  <si>
    <t>m²</t>
  </si>
  <si>
    <t>Enfoscado de cemento sobre paramento exterior</t>
  </si>
  <si>
    <t>Enfoscado de cemento, a buena vista, aplicado sobre un paramento vertical exterior, acabado superficial rugoso, con mortero de cemento, tipo GP CSIII W1, previa colocación de malla antiálcalis en cambios de material y en los frentes de forjado.</t>
  </si>
  <si>
    <t>Uds.</t>
  </si>
  <si>
    <t>Largo</t>
  </si>
  <si>
    <t>Ancho</t>
  </si>
  <si>
    <t>Alto</t>
  </si>
  <si>
    <t>Parcial</t>
  </si>
  <si>
    <t>Subtotal</t>
  </si>
  <si>
    <t>Cierre norte enfoscado ambas caras</t>
  </si>
  <si>
    <t>Jardinera Oeste escalera cancela</t>
  </si>
  <si>
    <t>Jardinera palmera</t>
  </si>
  <si>
    <t>Banco terraza descubierta</t>
  </si>
  <si>
    <t>Respaldo banco y apoyo guia puerta garage</t>
  </si>
  <si>
    <t>Murete que separa garage de terraza norte</t>
  </si>
  <si>
    <t>Murete que delimita garage al oeste de parcela</t>
  </si>
  <si>
    <t>Muro existente Oeste garage</t>
  </si>
  <si>
    <t>Muros exterior trastero</t>
  </si>
  <si>
    <t>jardineras cipreses</t>
  </si>
  <si>
    <t>jardinera pisicna</t>
  </si>
  <si>
    <t>Jardinera terraza cubierta</t>
  </si>
  <si>
    <t>Zocalo terraza cubierta</t>
  </si>
  <si>
    <t>Linde vecino sur</t>
  </si>
  <si>
    <t>muro tras banco piscina</t>
  </si>
  <si>
    <t>Banco piscina</t>
  </si>
  <si>
    <t>RFP010b</t>
  </si>
  <si>
    <t>m²</t>
  </si>
  <si>
    <t>Aplicación manual de dos manos de pintura a la cal, color blanco</t>
  </si>
  <si>
    <t>Aplicación manual de dos manos de pintura a la cal, color blanco, la primera mano diluida con un 30 a 40% de agua y la siguiente diluida con un 30% de agua o sin diluir, (rendimiento: 0,29 l/m² cada mano); previa aplicación de una mano de imprimación granulosa translúcida, sobre paramento exterior de mortero de cal o mortero bastardo de cal.</t>
  </si>
  <si>
    <t>Uds.</t>
  </si>
  <si>
    <t>Largo</t>
  </si>
  <si>
    <t>Ancho</t>
  </si>
  <si>
    <t>Alto</t>
  </si>
  <si>
    <t>Parcial</t>
  </si>
  <si>
    <t>Subtotal</t>
  </si>
  <si>
    <t>Cierre norte enfoscado ambas caras</t>
  </si>
  <si>
    <t>Jardinera Oeste escalera cancela</t>
  </si>
  <si>
    <t>Jardinera palmera</t>
  </si>
  <si>
    <t>Banco terraza descubierta</t>
  </si>
  <si>
    <t>Respaldo banco y apoyo guia puerta garage</t>
  </si>
  <si>
    <t>Murete que delimita garage de terraza norte</t>
  </si>
  <si>
    <t>Murete que delimita garage al oeste de parcela</t>
  </si>
  <si>
    <t>Muro existente Oeste garage</t>
  </si>
  <si>
    <t>Muros exterior traastero</t>
  </si>
  <si>
    <t>jardineras cipreses</t>
  </si>
  <si>
    <t>jardineraas pisicna</t>
  </si>
  <si>
    <t>Jardinera terraza cubierta</t>
  </si>
  <si>
    <t>Zocalo terraza cubierta</t>
  </si>
  <si>
    <t>Linde vecino sur</t>
  </si>
  <si>
    <t>muro tras banco piscina</t>
  </si>
  <si>
    <t>Banco piscina</t>
  </si>
  <si>
    <t>UX</t>
  </si>
  <si>
    <t>Pavimentos exteriores</t>
  </si>
  <si>
    <t>UXG010b</t>
  </si>
  <si>
    <t>m²</t>
  </si>
  <si>
    <t>Solado de baldosas cerámicas de gres porcelánico + solera</t>
  </si>
  <si>
    <t>Suministro y colocación de pavimento de baldosas cerámicas de gres porcelánico acabado mate o natural, de 1200x600 mm, modelo Ivory, capacidad de absorción de agua E&lt;0,5%, grupo BIa, según UNE-EN 14411, con resistencia al deslizamiento Rd&gt;45 según UNE 41901 EX y resbaladicidad clase 3 según CTE, extendidas sobre capa de regularización de 3 cm de mortero de cemento M-5, recibidas con adhesivo cementoso mejorado, C2 sin ninguna característica adicional, color gris y rejuntado con mortero de juntas cementoso mejorado, con absorción de agua reducida y resistencia elevada a la abrasión tipo CG 2 W A, color blanco, para juntas de 2 a 15 mm, todo ello realizado sobre solera existente.</t>
  </si>
  <si>
    <t>Uds.</t>
  </si>
  <si>
    <t>Largo</t>
  </si>
  <si>
    <t>Ancho</t>
  </si>
  <si>
    <t>Alto</t>
  </si>
  <si>
    <t>Parcial</t>
  </si>
  <si>
    <t>Subtotal</t>
  </si>
  <si>
    <t>Pavimento solado exterior, sin piscina sin terraza cubierta.</t>
  </si>
  <si>
    <t>J</t>
  </si>
  <si>
    <t>Jardineria</t>
  </si>
  <si>
    <t>UJC</t>
  </si>
  <si>
    <t>m²</t>
  </si>
  <si>
    <t>Césped</t>
  </si>
  <si>
    <t>Tepe de césped.
Incluye: Preparación del terreno manual y abonado de fondo. Colocación de tepes. Primer riego.</t>
  </si>
  <si>
    <t>Uds.</t>
  </si>
  <si>
    <t>Largo</t>
  </si>
  <si>
    <t>Ancho</t>
  </si>
  <si>
    <t>Alto</t>
  </si>
  <si>
    <t>Parcial</t>
  </si>
  <si>
    <t>Subtotal</t>
  </si>
  <si>
    <t>Superfice de hierba en Este de parcela</t>
  </si>
  <si>
    <t>PA</t>
  </si>
  <si>
    <t>Zona Paellero</t>
  </si>
  <si>
    <t>PA010</t>
  </si>
  <si>
    <t>Ud</t>
  </si>
  <si>
    <t>Construcción zona paellero</t>
  </si>
  <si>
    <t>Construccion de paellero, bancada, horno moruno e isla, medidas según diseño, en ladrillo hueco del 7, con bardos, capa de hormigon. Todas las superficies enfoscadas con mortero a la cal y pintadas con pintura a la cal. Incluido ladrillo refractario en paellero. A falta de parrrilla. Incluidas puertas de madera estilo rústico bajo bancada de cocina y de isla.</t>
  </si>
  <si>
    <t>G</t>
  </si>
  <si>
    <t>Medios auxiliares y Gestión de residuos</t>
  </si>
  <si>
    <t>GG</t>
  </si>
  <si>
    <t>PA</t>
  </si>
  <si>
    <t>Partiza alzada de gestión de residuos</t>
  </si>
  <si>
    <t>Partiza alzada de gestión de residuos (1,35 % del PEM)</t>
  </si>
  <si>
    <t>E10711</t>
  </si>
  <si>
    <t>PA</t>
  </si>
  <si>
    <t>Medios auxiliares , para la elevación y el reparto de materiales</t>
  </si>
  <si>
    <t>Medios auxiliares , para la elevación y el reparto de materiales</t>
  </si>
  <si>
    <t>X</t>
  </si>
  <si>
    <t>Control de calidad y ensayos</t>
  </si>
  <si>
    <t>XA</t>
  </si>
  <si>
    <t>Partida alzada de control de calidad</t>
  </si>
  <si>
    <t>Partida alzada de control de calidad.</t>
  </si>
  <si>
    <t>Y</t>
  </si>
  <si>
    <t>Seguridad y salud</t>
  </si>
  <si>
    <t>ID01</t>
  </si>
  <si>
    <t>PA</t>
  </si>
  <si>
    <t>Partida alzada de seguridad y salud</t>
  </si>
  <si>
    <t>Partida alzada de seguridad y salud.</t>
  </si>
  <si>
    <t>.</t>
  </si>
  <si>
    <t>25-183</t>
  </si>
  <si>
    <t>mt</t>
  </si>
  <si>
    <t xml:space="preserve">Sistema de riego por goteo para jardineras de cipreses. Aprovechamiento y adecuación de sisterma por goteo existente. Tubería de riego por goteo, formada por tubo de polietileno, color negro, de 12 mm de diámetro exterior, con goteros integrados, situados cada 30 cm. Incluso accesorios de conexión.
</t>
  </si>
  <si>
    <t>dem</t>
  </si>
  <si>
    <t>cim</t>
  </si>
  <si>
    <t>est met</t>
  </si>
  <si>
    <t>ferr</t>
  </si>
  <si>
    <t>ais</t>
  </si>
  <si>
    <t>pladur</t>
  </si>
  <si>
    <t>mad</t>
  </si>
  <si>
    <t>carp ext</t>
  </si>
  <si>
    <t>cerraj</t>
  </si>
  <si>
    <t>acris</t>
  </si>
  <si>
    <t>piedra</t>
  </si>
  <si>
    <t>elec</t>
  </si>
  <si>
    <t>font</t>
  </si>
  <si>
    <t>clima</t>
  </si>
  <si>
    <t>riego</t>
  </si>
  <si>
    <t>cub</t>
  </si>
  <si>
    <t>pint</t>
  </si>
  <si>
    <t>rodap</t>
  </si>
  <si>
    <t>fal viga</t>
  </si>
  <si>
    <t>equip</t>
  </si>
  <si>
    <t>electrod</t>
  </si>
  <si>
    <t>pisc</t>
  </si>
  <si>
    <t>ceped</t>
  </si>
  <si>
    <t>cesped</t>
  </si>
  <si>
    <t>paellero</t>
  </si>
  <si>
    <t>buzon</t>
  </si>
  <si>
    <t>REFORMA Y AMPLIACION DE VIV UNIFAMILIAR AISLADA EN LA URB. CARAMBOLO. - CHIVA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</si>
</sst>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rgb="FF000000"/>
      <name val="Verdana"/>
      <family val="2"/>
    </font>
    <font>
      <b/>
      <sz val="9.9499999999999993"/>
      <color rgb="FF000000"/>
      <name val="Arial"/>
      <family val="2"/>
    </font>
    <font>
      <sz val="8"/>
      <color rgb="FF000000"/>
      <name val="Arial"/>
      <family val="2"/>
    </font>
    <font>
      <b/>
      <sz val="9"/>
      <color rgb="FF000000"/>
      <name val="Arial"/>
      <family val="2"/>
    </font>
    <font>
      <b/>
      <sz val="8"/>
      <color rgb="FF000000"/>
      <name val="Arial"/>
      <family val="2"/>
    </font>
    <font>
      <sz val="8"/>
      <color rgb="FF808080"/>
      <name val="Arial"/>
      <family val="2"/>
    </font>
    <font>
      <sz val="8"/>
      <color rgb="FF101010"/>
      <name val="Arial"/>
      <family val="2"/>
    </font>
    <font>
      <b/>
      <sz val="10"/>
      <color rgb="FF000000"/>
      <name val="Arial"/>
      <family val="2"/>
    </font>
    <font>
      <i/>
      <sz val="1"/>
      <color rgb="FF000000"/>
      <name val="Calibri"/>
      <family val="2"/>
      <scheme val="minor"/>
    </font>
    <font>
      <i/>
      <sz val="9"/>
      <color rgb="FF000000"/>
      <name val="Calibri"/>
      <family val="2"/>
      <scheme val="minor"/>
    </font>
    <font>
      <i/>
      <sz val="10"/>
      <color rgb="FF000000"/>
      <name val="Calibri"/>
      <family val="2"/>
      <scheme val="minor"/>
    </font>
  </fonts>
  <fills count="6">
    <fill>
      <patternFill patternType="none"/>
    </fill>
    <fill>
      <patternFill patternType="gray125"/>
    </fill>
    <fill>
      <patternFill patternType="solid">
        <fgColor rgb="FFBFEBFF"/>
        <bgColor indexed="64"/>
      </patternFill>
    </fill>
    <fill>
      <patternFill patternType="solid">
        <fgColor rgb="FF1EC3D4"/>
        <bgColor indexed="64"/>
      </patternFill>
    </fill>
    <fill>
      <patternFill patternType="solid">
        <fgColor rgb="FF2BD0E1"/>
        <bgColor indexed="64"/>
      </patternFill>
    </fill>
    <fill>
      <patternFill patternType="solid">
        <fgColor rgb="FF4ADFE6"/>
        <bgColor indexed="64"/>
      </patternFill>
    </fill>
  </fills>
  <borders count="5">
    <border>
      <left/>
      <right/>
      <top/>
      <bottom/>
      <diagonal/>
    </border>
    <border>
      <left/>
      <right/>
      <top/>
      <bottom style="thin">
        <color rgb="FF000000"/>
      </bottom>
      <diagonal/>
    </border>
    <border>
      <left/>
      <right/>
      <top style="thin">
        <color rgb="FF000000"/>
      </top>
      <bottom/>
      <diagonal/>
    </border>
    <border>
      <left/>
      <right/>
      <top/>
      <bottom style="thin">
        <color rgb="FF808080"/>
      </bottom>
      <diagonal/>
    </border>
    <border>
      <left/>
      <right/>
      <top style="thin">
        <color rgb="FF808080"/>
      </top>
      <bottom/>
      <diagonal/>
    </border>
  </borders>
  <cellStyleXfs count="1">
    <xf numFmtId="0" fontId="0" fillId="0" borderId="0"/>
  </cellStyleXfs>
  <cellXfs count="59">
    <xf numFmtId="0" fontId="0" fillId="0" borderId="0" xfId="0" applyFont="1" applyAlignment="1">
      <alignment horizontal="left" vertical="center"/>
    </xf>
    <xf numFmtId="0" fontId="2" fillId="0" borderId="0" xfId="0" applyFont="1" applyAlignment="1">
      <alignment horizontal="righ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164" fontId="2" fillId="0" borderId="0" xfId="0" applyNumberFormat="1" applyFont="1" applyAlignment="1">
      <alignment horizontal="right" vertical="top" wrapText="1"/>
    </xf>
    <xf numFmtId="4" fontId="2" fillId="0" borderId="0" xfId="0" applyNumberFormat="1" applyFont="1" applyAlignment="1">
      <alignment horizontal="right" vertical="top" wrapText="1"/>
    </xf>
    <xf numFmtId="0" fontId="0" fillId="0" borderId="0" xfId="0" applyFont="1" applyAlignment="1">
      <alignment horizontal="center" vertical="center" wrapText="1"/>
    </xf>
    <xf numFmtId="0" fontId="5" fillId="0" borderId="3" xfId="0" applyFont="1" applyBorder="1" applyAlignment="1">
      <alignment horizontal="left" vertical="top" wrapText="1"/>
    </xf>
    <xf numFmtId="0" fontId="5" fillId="0" borderId="0" xfId="0" applyFont="1" applyAlignment="1">
      <alignment horizontal="right" vertical="top" wrapText="1"/>
    </xf>
    <xf numFmtId="0" fontId="5" fillId="0" borderId="3" xfId="0" applyFont="1" applyBorder="1" applyAlignment="1">
      <alignment horizontal="right" vertical="top" wrapText="1"/>
    </xf>
    <xf numFmtId="0" fontId="5" fillId="0" borderId="0" xfId="0" applyFont="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right" vertical="top" wrapText="1"/>
    </xf>
    <xf numFmtId="4" fontId="2" fillId="0" borderId="4" xfId="0" applyNumberFormat="1" applyFont="1" applyBorder="1" applyAlignment="1">
      <alignment horizontal="right" vertical="top" wrapText="1"/>
    </xf>
    <xf numFmtId="164" fontId="5" fillId="0" borderId="0" xfId="0" applyNumberFormat="1" applyFont="1" applyAlignment="1">
      <alignment horizontal="right" vertical="top" wrapText="1"/>
    </xf>
    <xf numFmtId="164" fontId="5" fillId="0" borderId="4" xfId="0" applyNumberFormat="1" applyFont="1" applyBorder="1" applyAlignment="1">
      <alignment horizontal="right" vertical="top" wrapText="1"/>
    </xf>
    <xf numFmtId="164" fontId="6" fillId="0" borderId="0" xfId="0" applyNumberFormat="1" applyFont="1" applyAlignment="1">
      <alignment horizontal="right" vertical="top" wrapText="1"/>
    </xf>
    <xf numFmtId="164" fontId="6" fillId="0" borderId="4" xfId="0" applyNumberFormat="1" applyFont="1" applyBorder="1" applyAlignment="1">
      <alignment horizontal="right" vertical="top" wrapText="1"/>
    </xf>
    <xf numFmtId="0" fontId="0" fillId="0" borderId="4" xfId="0" applyFont="1" applyBorder="1" applyAlignment="1">
      <alignment horizontal="center" vertical="center" wrapText="1"/>
    </xf>
    <xf numFmtId="0" fontId="5" fillId="0" borderId="4" xfId="0" applyFont="1" applyBorder="1" applyAlignment="1">
      <alignment horizontal="right" vertical="top" wrapText="1"/>
    </xf>
    <xf numFmtId="0" fontId="2" fillId="2" borderId="0" xfId="0" applyFont="1" applyFill="1" applyAlignment="1">
      <alignment horizontal="right" vertical="top" wrapText="1"/>
    </xf>
    <xf numFmtId="0" fontId="2" fillId="2" borderId="0" xfId="0" applyFont="1" applyFill="1" applyAlignment="1">
      <alignment horizontal="left" vertical="top" wrapText="1"/>
    </xf>
    <xf numFmtId="0" fontId="3" fillId="2" borderId="1" xfId="0" applyFont="1" applyFill="1" applyBorder="1" applyAlignment="1">
      <alignment horizontal="left" vertical="top" wrapText="1"/>
    </xf>
    <xf numFmtId="0" fontId="0" fillId="2" borderId="1" xfId="0" applyFont="1" applyFill="1" applyBorder="1" applyAlignment="1">
      <alignment horizontal="left" vertical="top" wrapText="1"/>
    </xf>
    <xf numFmtId="0" fontId="3" fillId="2" borderId="1" xfId="0" applyFont="1" applyFill="1" applyBorder="1" applyAlignment="1">
      <alignment horizontal="right" vertical="top" wrapText="1"/>
    </xf>
    <xf numFmtId="0" fontId="1" fillId="2" borderId="0" xfId="0" applyFont="1" applyFill="1" applyAlignment="1">
      <alignment vertical="top" wrapText="1"/>
    </xf>
    <xf numFmtId="0" fontId="0" fillId="3" borderId="0" xfId="0" applyFont="1" applyFill="1" applyAlignment="1">
      <alignment horizontal="left" vertical="top" wrapText="1"/>
    </xf>
    <xf numFmtId="4" fontId="4" fillId="3" borderId="0" xfId="0" applyNumberFormat="1" applyFont="1" applyFill="1" applyAlignment="1">
      <alignment horizontal="right" vertical="top" wrapText="1"/>
    </xf>
    <xf numFmtId="0" fontId="0" fillId="3" borderId="2" xfId="0" applyFont="1" applyFill="1" applyBorder="1" applyAlignment="1">
      <alignment horizontal="left" vertical="top" wrapText="1"/>
    </xf>
    <xf numFmtId="4" fontId="4" fillId="3" borderId="2" xfId="0" applyNumberFormat="1" applyFont="1" applyFill="1" applyBorder="1" applyAlignment="1">
      <alignment horizontal="right" vertical="top" wrapText="1"/>
    </xf>
    <xf numFmtId="0" fontId="4" fillId="3" borderId="0" xfId="0" applyFont="1" applyFill="1" applyAlignment="1">
      <alignment horizontal="left" vertical="top" wrapText="1"/>
    </xf>
    <xf numFmtId="0" fontId="4" fillId="3" borderId="2" xfId="0" applyFont="1" applyFill="1" applyBorder="1" applyAlignment="1">
      <alignment horizontal="left" vertical="top" wrapText="1"/>
    </xf>
    <xf numFmtId="0" fontId="0" fillId="4" borderId="0" xfId="0" applyFont="1" applyFill="1" applyAlignment="1">
      <alignment horizontal="left" vertical="top" wrapText="1"/>
    </xf>
    <xf numFmtId="4" fontId="4" fillId="4" borderId="0" xfId="0" applyNumberFormat="1" applyFont="1" applyFill="1" applyAlignment="1">
      <alignment horizontal="right" vertical="top" wrapText="1"/>
    </xf>
    <xf numFmtId="0" fontId="0" fillId="4" borderId="2" xfId="0" applyFont="1" applyFill="1" applyBorder="1" applyAlignment="1">
      <alignment horizontal="left" vertical="top" wrapText="1"/>
    </xf>
    <xf numFmtId="4" fontId="4" fillId="4" borderId="2" xfId="0" applyNumberFormat="1" applyFont="1" applyFill="1" applyBorder="1" applyAlignment="1">
      <alignment horizontal="right" vertical="top" wrapText="1"/>
    </xf>
    <xf numFmtId="0" fontId="4" fillId="4" borderId="0" xfId="0" applyFont="1" applyFill="1" applyAlignment="1">
      <alignment horizontal="left" vertical="top" wrapText="1"/>
    </xf>
    <xf numFmtId="0" fontId="4" fillId="4" borderId="2" xfId="0" applyFont="1" applyFill="1" applyBorder="1" applyAlignment="1">
      <alignment horizontal="left" vertical="top" wrapText="1"/>
    </xf>
    <xf numFmtId="0" fontId="0" fillId="5" borderId="0" xfId="0" applyFont="1" applyFill="1" applyAlignment="1">
      <alignment horizontal="left" vertical="top" wrapText="1"/>
    </xf>
    <xf numFmtId="4" fontId="4" fillId="5" borderId="0" xfId="0" applyNumberFormat="1" applyFont="1" applyFill="1" applyAlignment="1">
      <alignment horizontal="right" vertical="top" wrapText="1"/>
    </xf>
    <xf numFmtId="0" fontId="0" fillId="5" borderId="2" xfId="0" applyFont="1" applyFill="1" applyBorder="1" applyAlignment="1">
      <alignment horizontal="left" vertical="top" wrapText="1"/>
    </xf>
    <xf numFmtId="4" fontId="4" fillId="5" borderId="2" xfId="0" applyNumberFormat="1" applyFont="1" applyFill="1" applyBorder="1" applyAlignment="1">
      <alignment horizontal="right" vertical="top" wrapText="1"/>
    </xf>
    <xf numFmtId="0" fontId="4" fillId="5" borderId="0" xfId="0" applyFont="1" applyFill="1" applyAlignment="1">
      <alignment horizontal="left" vertical="top" wrapText="1"/>
    </xf>
    <xf numFmtId="0" fontId="4" fillId="5" borderId="2" xfId="0" applyFont="1" applyFill="1" applyBorder="1" applyAlignment="1">
      <alignment horizontal="left" vertical="top" wrapText="1"/>
    </xf>
    <xf numFmtId="0" fontId="4" fillId="3" borderId="2" xfId="0" applyFont="1" applyFill="1" applyBorder="1" applyAlignment="1">
      <alignment horizontal="justify" vertical="top" wrapText="1"/>
    </xf>
    <xf numFmtId="0" fontId="2" fillId="0" borderId="0" xfId="0" applyFont="1" applyAlignment="1">
      <alignment horizontal="justify" vertical="top" wrapText="1"/>
    </xf>
    <xf numFmtId="0" fontId="4" fillId="4" borderId="2" xfId="0" applyFont="1" applyFill="1" applyBorder="1" applyAlignment="1">
      <alignment horizontal="justify" vertical="top" wrapText="1"/>
    </xf>
    <xf numFmtId="0" fontId="4" fillId="4" borderId="0" xfId="0" applyFont="1" applyFill="1" applyAlignment="1">
      <alignment horizontal="justify" vertical="top" wrapText="1"/>
    </xf>
    <xf numFmtId="0" fontId="4" fillId="5" borderId="0" xfId="0" applyFont="1" applyFill="1" applyAlignment="1">
      <alignment horizontal="justify" vertical="top" wrapText="1"/>
    </xf>
    <xf numFmtId="0" fontId="4" fillId="5" borderId="2" xfId="0" applyFont="1" applyFill="1" applyBorder="1" applyAlignment="1">
      <alignment horizontal="justify" vertical="top" wrapText="1"/>
    </xf>
    <xf numFmtId="0" fontId="4" fillId="3" borderId="0" xfId="0" applyFont="1" applyFill="1" applyAlignment="1">
      <alignment horizontal="justify" vertical="top" wrapText="1"/>
    </xf>
    <xf numFmtId="0" fontId="1" fillId="2" borderId="0" xfId="0" applyFont="1" applyFill="1" applyAlignment="1">
      <alignment horizontal="right" wrapText="1"/>
    </xf>
    <xf numFmtId="0" fontId="7" fillId="2" borderId="0" xfId="0" applyFont="1" applyFill="1" applyAlignment="1">
      <alignment horizontal="left" wrapText="1"/>
    </xf>
    <xf numFmtId="0" fontId="1" fillId="2" borderId="0" xfId="0" applyFont="1" applyFill="1" applyAlignment="1">
      <alignment horizontal="right" vertical="top" wrapText="1"/>
    </xf>
    <xf numFmtId="0" fontId="0" fillId="2" borderId="0" xfId="0" applyFill="1" applyAlignment="1">
      <alignment horizontal="left" vertical="top" wrapText="1"/>
    </xf>
    <xf numFmtId="0" fontId="8" fillId="0" borderId="0" xfId="0" applyFont="1" applyAlignment="1">
      <alignment horizontal="left" vertical="center"/>
    </xf>
    <xf numFmtId="0" fontId="9"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left" vertical="center"/>
    </xf>
  </cellXfs>
  <cellStyles count="1">
    <cellStyle name="Normal" xfId="0" builtinId="0"/>
  </cellStyles>
  <dxfs count="0"/>
  <tableStyles count="0" defaultTableStyle="TableStyleMedium9" defaultPivotStyle="PivotStyleLight16"/>
  <colors>
    <mruColors>
      <color rgb="FF4ADFE6"/>
      <color rgb="FF2BD0E1"/>
      <color rgb="FF1EC3D4"/>
      <color rgb="FF017C99"/>
      <color rgb="FFBFE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autoPageBreaks="0"/>
  </sheetPr>
  <dimension ref="A1:DJM1102"/>
  <sheetViews>
    <sheetView tabSelected="1" workbookViewId="0">
      <pane ySplit="3" topLeftCell="A4" activePane="bottomLeft" state="frozen"/>
      <selection pane="bottomLeft" activeCell="D2" sqref="D2"/>
    </sheetView>
  </sheetViews>
  <sheetFormatPr baseColWidth="10" defaultRowHeight="15" x14ac:dyDescent="0.2"/>
  <cols>
    <col min="1" max="1" width="6.8984375" bestFit="1" customWidth="1"/>
    <col min="2" max="2" width="2.19921875" bestFit="1" customWidth="1"/>
    <col min="3" max="3" width="17.69921875" customWidth="1"/>
    <col min="4" max="4" width="10.296875" customWidth="1"/>
    <col min="5" max="9" width="6.19921875" customWidth="1"/>
    <col min="10" max="10" width="5.69921875" bestFit="1" customWidth="1"/>
    <col min="11" max="11" width="6.19921875" bestFit="1" customWidth="1"/>
    <col min="12" max="12" width="6.8984375" bestFit="1" customWidth="1"/>
    <col min="13" max="13" width="3.3984375" style="58" hidden="1" customWidth="1"/>
    <col min="14" max="14" width="2.5" style="58" hidden="1" customWidth="1"/>
    <col min="15" max="15" width="2.8984375" style="58" hidden="1" customWidth="1"/>
    <col min="16" max="16" width="4.8984375" style="58" hidden="1" customWidth="1"/>
    <col min="17" max="17" width="2.8984375" style="58" hidden="1" customWidth="1"/>
    <col min="18" max="18" width="2.59765625" style="58" hidden="1" customWidth="1"/>
    <col min="19" max="19" width="4.59765625" style="58" hidden="1" customWidth="1"/>
    <col min="20" max="20" width="3.5" style="58" hidden="1" customWidth="1"/>
    <col min="21" max="21" width="5.296875" style="58" hidden="1" customWidth="1"/>
    <col min="22" max="22" width="4" style="58" hidden="1" customWidth="1"/>
    <col min="23" max="23" width="3.5" style="58" hidden="1" customWidth="1"/>
    <col min="24" max="24" width="4.5" style="58" hidden="1" customWidth="1"/>
    <col min="25" max="25" width="3.09765625" style="58" hidden="1" customWidth="1"/>
    <col min="26" max="26" width="3.296875" style="58" hidden="1" customWidth="1"/>
    <col min="27" max="27" width="3.8984375" style="58" hidden="1" customWidth="1"/>
    <col min="28" max="28" width="3.796875" style="58" hidden="1" customWidth="1"/>
    <col min="29" max="29" width="3" style="58" hidden="1" customWidth="1"/>
    <col min="30" max="30" width="3.19921875" style="58" hidden="1" customWidth="1"/>
    <col min="31" max="31" width="4.296875" style="58" hidden="1" customWidth="1"/>
    <col min="32" max="32" width="5.09765625" style="58" hidden="1" customWidth="1"/>
    <col min="33" max="33" width="4.09765625" style="58" hidden="1" customWidth="1"/>
    <col min="34" max="34" width="5.296875" style="58" hidden="1" customWidth="1"/>
    <col min="35" max="35" width="3.09765625" style="58" hidden="1" customWidth="1"/>
    <col min="36" max="36" width="4.69921875" style="58" hidden="1" customWidth="1"/>
    <col min="37" max="37" width="5.3984375" style="58" hidden="1" customWidth="1"/>
    <col min="38" max="38" width="4.3984375" style="58" hidden="1" customWidth="1"/>
    <col min="39" max="1702" width="11.19921875" style="58"/>
  </cols>
  <sheetData>
    <row r="1" spans="1:2977" ht="17.850000000000001" customHeight="1" x14ac:dyDescent="0.2">
      <c r="A1" s="51" t="s">
        <v>0</v>
      </c>
      <c r="B1" s="52" t="s">
        <v>2204</v>
      </c>
      <c r="C1" s="52"/>
      <c r="D1" s="52"/>
      <c r="E1" s="52"/>
      <c r="F1" s="52"/>
      <c r="G1" s="52"/>
      <c r="H1" s="52"/>
      <c r="I1" s="52"/>
      <c r="J1" s="25"/>
      <c r="K1" s="25"/>
      <c r="L1" s="25"/>
      <c r="M1" s="55" t="s">
        <v>2174</v>
      </c>
      <c r="N1" s="55" t="s">
        <v>2174</v>
      </c>
      <c r="O1" s="55" t="s">
        <v>2174</v>
      </c>
      <c r="P1" s="55" t="s">
        <v>2174</v>
      </c>
      <c r="Q1" s="55" t="s">
        <v>2174</v>
      </c>
      <c r="R1" s="55" t="s">
        <v>2174</v>
      </c>
      <c r="S1" s="55" t="s">
        <v>2174</v>
      </c>
      <c r="T1" s="55" t="s">
        <v>2174</v>
      </c>
      <c r="U1" s="55" t="s">
        <v>2174</v>
      </c>
      <c r="V1" s="55" t="s">
        <v>2174</v>
      </c>
      <c r="W1" s="55" t="s">
        <v>2174</v>
      </c>
      <c r="X1" s="55" t="s">
        <v>2174</v>
      </c>
      <c r="Y1" s="55" t="s">
        <v>2174</v>
      </c>
      <c r="Z1" s="55" t="s">
        <v>2174</v>
      </c>
      <c r="AA1" s="55" t="s">
        <v>2174</v>
      </c>
      <c r="AB1" s="55" t="s">
        <v>2174</v>
      </c>
      <c r="AC1" s="55" t="s">
        <v>2174</v>
      </c>
      <c r="AD1" s="55" t="s">
        <v>2174</v>
      </c>
      <c r="AE1" s="55" t="s">
        <v>2174</v>
      </c>
      <c r="AF1" s="55" t="s">
        <v>2174</v>
      </c>
      <c r="AG1" s="55" t="s">
        <v>2174</v>
      </c>
      <c r="AH1" s="55" t="s">
        <v>2174</v>
      </c>
      <c r="AI1" s="55" t="s">
        <v>2174</v>
      </c>
      <c r="AJ1" s="55" t="s">
        <v>2174</v>
      </c>
      <c r="AK1" s="55" t="s">
        <v>2174</v>
      </c>
      <c r="AL1" s="55" t="s">
        <v>2174</v>
      </c>
      <c r="AM1" s="55" t="s">
        <v>2174</v>
      </c>
      <c r="AN1" s="55" t="s">
        <v>2174</v>
      </c>
      <c r="AO1" s="55" t="s">
        <v>2174</v>
      </c>
      <c r="AP1" s="55" t="s">
        <v>2174</v>
      </c>
      <c r="AQ1" s="55" t="s">
        <v>2174</v>
      </c>
      <c r="AR1" s="55" t="s">
        <v>2174</v>
      </c>
      <c r="AS1" s="55" t="s">
        <v>2174</v>
      </c>
      <c r="AT1" s="55" t="s">
        <v>2174</v>
      </c>
      <c r="AU1" s="55" t="s">
        <v>2174</v>
      </c>
      <c r="AV1" s="55" t="s">
        <v>2174</v>
      </c>
      <c r="AW1" s="55" t="s">
        <v>2174</v>
      </c>
      <c r="AX1" s="55" t="s">
        <v>2174</v>
      </c>
      <c r="AY1" s="55" t="s">
        <v>2174</v>
      </c>
      <c r="AZ1" s="55" t="s">
        <v>2174</v>
      </c>
      <c r="BA1" s="55" t="s">
        <v>2174</v>
      </c>
      <c r="BB1" s="55" t="s">
        <v>2174</v>
      </c>
      <c r="BC1" s="55" t="s">
        <v>2174</v>
      </c>
      <c r="BD1" s="55" t="s">
        <v>2174</v>
      </c>
      <c r="BE1" s="55" t="s">
        <v>2174</v>
      </c>
      <c r="BF1" s="55" t="s">
        <v>2174</v>
      </c>
      <c r="BG1" s="55" t="s">
        <v>2174</v>
      </c>
      <c r="BH1" s="55" t="s">
        <v>2174</v>
      </c>
      <c r="BI1" s="55" t="s">
        <v>2174</v>
      </c>
      <c r="BJ1" s="55" t="s">
        <v>2174</v>
      </c>
      <c r="BK1" s="55" t="s">
        <v>2174</v>
      </c>
      <c r="BL1" s="55" t="s">
        <v>2174</v>
      </c>
      <c r="BM1" s="55" t="s">
        <v>2174</v>
      </c>
      <c r="BN1" s="55" t="s">
        <v>2174</v>
      </c>
      <c r="BO1" s="55" t="s">
        <v>2174</v>
      </c>
      <c r="BP1" s="55" t="s">
        <v>2174</v>
      </c>
      <c r="BQ1" s="55" t="s">
        <v>2174</v>
      </c>
      <c r="BR1" s="55" t="s">
        <v>2174</v>
      </c>
      <c r="BS1" s="55" t="s">
        <v>2174</v>
      </c>
      <c r="BT1" s="55" t="s">
        <v>2174</v>
      </c>
      <c r="BU1" s="55" t="s">
        <v>2174</v>
      </c>
      <c r="BV1" s="55" t="s">
        <v>2174</v>
      </c>
      <c r="BW1" s="55" t="s">
        <v>2174</v>
      </c>
      <c r="BX1" s="55" t="s">
        <v>2174</v>
      </c>
      <c r="BY1" s="55" t="s">
        <v>2174</v>
      </c>
      <c r="BZ1" s="55" t="s">
        <v>2174</v>
      </c>
      <c r="CA1" s="55" t="s">
        <v>2174</v>
      </c>
      <c r="CB1" s="55" t="s">
        <v>2174</v>
      </c>
      <c r="CC1" s="55" t="s">
        <v>2174</v>
      </c>
      <c r="CD1" s="55" t="s">
        <v>2174</v>
      </c>
      <c r="CE1" s="55" t="s">
        <v>2174</v>
      </c>
      <c r="CF1" s="55" t="s">
        <v>2174</v>
      </c>
      <c r="CG1" s="55" t="s">
        <v>2174</v>
      </c>
      <c r="CH1" s="55" t="s">
        <v>2174</v>
      </c>
      <c r="CI1" s="55" t="s">
        <v>2174</v>
      </c>
      <c r="CJ1" s="55" t="s">
        <v>2174</v>
      </c>
      <c r="CK1" s="55" t="s">
        <v>2174</v>
      </c>
      <c r="CL1" s="55" t="s">
        <v>2174</v>
      </c>
      <c r="CM1" s="55" t="s">
        <v>2174</v>
      </c>
      <c r="CN1" s="55" t="s">
        <v>2174</v>
      </c>
      <c r="CO1" s="55" t="s">
        <v>2174</v>
      </c>
      <c r="CP1" s="55" t="s">
        <v>2174</v>
      </c>
      <c r="CQ1" s="55" t="s">
        <v>2174</v>
      </c>
      <c r="CR1" s="55" t="s">
        <v>2174</v>
      </c>
      <c r="CS1" s="55" t="s">
        <v>2174</v>
      </c>
      <c r="CT1" s="55" t="s">
        <v>2174</v>
      </c>
      <c r="CU1" s="55" t="s">
        <v>2174</v>
      </c>
      <c r="CV1" s="55" t="s">
        <v>2174</v>
      </c>
      <c r="CW1" s="55" t="s">
        <v>2174</v>
      </c>
      <c r="CX1" s="55" t="s">
        <v>2174</v>
      </c>
      <c r="CY1" s="55" t="s">
        <v>2174</v>
      </c>
      <c r="CZ1" s="55" t="s">
        <v>2174</v>
      </c>
      <c r="DA1" s="55" t="s">
        <v>2174</v>
      </c>
      <c r="DB1" s="55" t="s">
        <v>2174</v>
      </c>
      <c r="DC1" s="55" t="s">
        <v>2174</v>
      </c>
      <c r="DD1" s="55" t="s">
        <v>2174</v>
      </c>
      <c r="DE1" s="55" t="s">
        <v>2174</v>
      </c>
      <c r="DF1" s="55" t="s">
        <v>2174</v>
      </c>
      <c r="DG1" s="55" t="s">
        <v>2174</v>
      </c>
      <c r="DH1" s="55" t="s">
        <v>2174</v>
      </c>
      <c r="DI1" s="55" t="s">
        <v>2174</v>
      </c>
      <c r="DJ1" s="55" t="s">
        <v>2174</v>
      </c>
      <c r="DK1" s="55" t="s">
        <v>2174</v>
      </c>
      <c r="DL1" s="55" t="s">
        <v>2174</v>
      </c>
      <c r="DM1" s="55" t="s">
        <v>2174</v>
      </c>
      <c r="DN1" s="55" t="s">
        <v>2174</v>
      </c>
      <c r="DO1" s="55" t="s">
        <v>2174</v>
      </c>
      <c r="DP1" s="55" t="s">
        <v>2174</v>
      </c>
      <c r="DQ1" s="55" t="s">
        <v>2174</v>
      </c>
      <c r="DR1" s="55" t="s">
        <v>2174</v>
      </c>
      <c r="DS1" s="55" t="s">
        <v>2174</v>
      </c>
      <c r="DT1" s="55" t="s">
        <v>2174</v>
      </c>
      <c r="DU1" s="55" t="s">
        <v>2174</v>
      </c>
      <c r="DV1" s="55" t="s">
        <v>2174</v>
      </c>
      <c r="DW1" s="55" t="s">
        <v>2174</v>
      </c>
      <c r="DX1" s="55" t="s">
        <v>2174</v>
      </c>
      <c r="DY1" s="55" t="s">
        <v>2174</v>
      </c>
      <c r="DZ1" s="55" t="s">
        <v>2174</v>
      </c>
      <c r="EA1" s="55" t="s">
        <v>2174</v>
      </c>
      <c r="EB1" s="55" t="s">
        <v>2174</v>
      </c>
      <c r="EC1" s="55" t="s">
        <v>2174</v>
      </c>
      <c r="ED1" s="55" t="s">
        <v>2174</v>
      </c>
      <c r="EE1" s="55" t="s">
        <v>2174</v>
      </c>
      <c r="EF1" s="55" t="s">
        <v>2174</v>
      </c>
      <c r="EG1" s="55" t="s">
        <v>2174</v>
      </c>
      <c r="EH1" s="55" t="s">
        <v>2174</v>
      </c>
      <c r="EI1" s="55" t="s">
        <v>2174</v>
      </c>
      <c r="EJ1" s="55" t="s">
        <v>2174</v>
      </c>
      <c r="EK1" s="55" t="s">
        <v>2174</v>
      </c>
      <c r="EL1" s="55" t="s">
        <v>2174</v>
      </c>
      <c r="EM1" s="55" t="s">
        <v>2174</v>
      </c>
      <c r="EN1" s="55" t="s">
        <v>2174</v>
      </c>
      <c r="EO1" s="55" t="s">
        <v>2174</v>
      </c>
      <c r="EP1" s="55" t="s">
        <v>2174</v>
      </c>
      <c r="EQ1" s="55" t="s">
        <v>2174</v>
      </c>
      <c r="ER1" s="55" t="s">
        <v>2174</v>
      </c>
      <c r="ES1" s="55" t="s">
        <v>2174</v>
      </c>
      <c r="ET1" s="55" t="s">
        <v>2174</v>
      </c>
      <c r="EU1" s="55" t="s">
        <v>2174</v>
      </c>
      <c r="EV1" s="55" t="s">
        <v>2174</v>
      </c>
      <c r="EW1" s="55" t="s">
        <v>2174</v>
      </c>
      <c r="EX1" s="55" t="s">
        <v>2174</v>
      </c>
      <c r="EY1" s="55" t="s">
        <v>2174</v>
      </c>
      <c r="EZ1" s="55" t="s">
        <v>2174</v>
      </c>
      <c r="FA1" s="55" t="s">
        <v>2174</v>
      </c>
      <c r="FB1" s="55" t="s">
        <v>2174</v>
      </c>
      <c r="FC1" s="55" t="s">
        <v>2174</v>
      </c>
      <c r="FD1" s="55" t="s">
        <v>2174</v>
      </c>
      <c r="FE1" s="55" t="s">
        <v>2174</v>
      </c>
      <c r="FF1" s="55" t="s">
        <v>2174</v>
      </c>
      <c r="FG1" s="55" t="s">
        <v>2174</v>
      </c>
      <c r="FH1" s="55" t="s">
        <v>2174</v>
      </c>
      <c r="FI1" s="55" t="s">
        <v>2174</v>
      </c>
      <c r="FJ1" s="55" t="s">
        <v>2174</v>
      </c>
      <c r="FK1" s="55" t="s">
        <v>2174</v>
      </c>
      <c r="FL1" s="55" t="s">
        <v>2174</v>
      </c>
      <c r="FM1" s="55" t="s">
        <v>2174</v>
      </c>
      <c r="FN1" s="55" t="s">
        <v>2174</v>
      </c>
      <c r="FO1" s="55" t="s">
        <v>2174</v>
      </c>
      <c r="FP1" s="55" t="s">
        <v>2174</v>
      </c>
      <c r="FQ1" s="55" t="s">
        <v>2174</v>
      </c>
      <c r="FR1" s="55" t="s">
        <v>2174</v>
      </c>
      <c r="FS1" s="55" t="s">
        <v>2174</v>
      </c>
      <c r="FT1" s="55" t="s">
        <v>2174</v>
      </c>
      <c r="FU1" s="55" t="s">
        <v>2174</v>
      </c>
      <c r="FV1" s="55" t="s">
        <v>2174</v>
      </c>
      <c r="FW1" s="55" t="s">
        <v>2174</v>
      </c>
      <c r="FX1" s="55" t="s">
        <v>2174</v>
      </c>
      <c r="FY1" s="55" t="s">
        <v>2174</v>
      </c>
      <c r="FZ1" s="55" t="s">
        <v>2174</v>
      </c>
      <c r="GA1" s="55" t="s">
        <v>2174</v>
      </c>
      <c r="GB1" s="55" t="s">
        <v>2174</v>
      </c>
      <c r="GC1" s="55" t="s">
        <v>2174</v>
      </c>
      <c r="GD1" s="55" t="s">
        <v>2174</v>
      </c>
      <c r="GE1" s="55" t="s">
        <v>2174</v>
      </c>
      <c r="GF1" s="55" t="s">
        <v>2174</v>
      </c>
      <c r="GG1" s="55" t="s">
        <v>2174</v>
      </c>
      <c r="GH1" s="55" t="s">
        <v>2174</v>
      </c>
      <c r="GI1" s="55" t="s">
        <v>2174</v>
      </c>
      <c r="GJ1" s="55" t="s">
        <v>2174</v>
      </c>
      <c r="GK1" s="55" t="s">
        <v>2174</v>
      </c>
      <c r="GL1" s="55" t="s">
        <v>2174</v>
      </c>
      <c r="GM1" s="55" t="s">
        <v>2174</v>
      </c>
      <c r="GN1" s="55" t="s">
        <v>2174</v>
      </c>
      <c r="GO1" s="55" t="s">
        <v>2174</v>
      </c>
      <c r="GP1" s="55" t="s">
        <v>2174</v>
      </c>
      <c r="GQ1" s="55" t="s">
        <v>2174</v>
      </c>
      <c r="GR1" s="55" t="s">
        <v>2174</v>
      </c>
      <c r="GS1" s="55" t="s">
        <v>2174</v>
      </c>
      <c r="GT1" s="55" t="s">
        <v>2174</v>
      </c>
      <c r="GU1" s="55" t="s">
        <v>2174</v>
      </c>
      <c r="GV1" s="55" t="s">
        <v>2174</v>
      </c>
      <c r="GW1" s="55" t="s">
        <v>2174</v>
      </c>
      <c r="GX1" s="55" t="s">
        <v>2174</v>
      </c>
      <c r="GY1" s="55" t="s">
        <v>2174</v>
      </c>
      <c r="GZ1" s="55" t="s">
        <v>2174</v>
      </c>
      <c r="HA1" s="55" t="s">
        <v>2174</v>
      </c>
      <c r="HB1" s="55" t="s">
        <v>2174</v>
      </c>
      <c r="HC1" s="55" t="s">
        <v>2174</v>
      </c>
      <c r="HD1" s="55" t="s">
        <v>2174</v>
      </c>
      <c r="HE1" s="55" t="s">
        <v>2174</v>
      </c>
      <c r="HF1" s="55" t="s">
        <v>2174</v>
      </c>
      <c r="HG1" s="55" t="s">
        <v>2174</v>
      </c>
      <c r="HH1" s="55" t="s">
        <v>2174</v>
      </c>
      <c r="HI1" s="55" t="s">
        <v>2174</v>
      </c>
      <c r="HJ1" s="55" t="s">
        <v>2174</v>
      </c>
      <c r="HK1" s="55" t="s">
        <v>2174</v>
      </c>
      <c r="HL1" s="55" t="s">
        <v>2174</v>
      </c>
      <c r="HM1" s="55" t="s">
        <v>2174</v>
      </c>
      <c r="HN1" s="55" t="s">
        <v>2174</v>
      </c>
      <c r="HO1" s="55" t="s">
        <v>2174</v>
      </c>
      <c r="HP1" s="55" t="s">
        <v>2174</v>
      </c>
      <c r="HQ1" s="55" t="s">
        <v>2174</v>
      </c>
      <c r="HR1" s="55" t="s">
        <v>2174</v>
      </c>
      <c r="HS1" s="55" t="s">
        <v>2174</v>
      </c>
      <c r="HT1" s="55" t="s">
        <v>2174</v>
      </c>
      <c r="HU1" s="55" t="s">
        <v>2174</v>
      </c>
      <c r="HV1" s="55" t="s">
        <v>2174</v>
      </c>
      <c r="HW1" s="55" t="s">
        <v>2174</v>
      </c>
      <c r="HX1" s="55" t="s">
        <v>2174</v>
      </c>
      <c r="HY1" s="55" t="s">
        <v>2174</v>
      </c>
      <c r="HZ1" s="55" t="s">
        <v>2174</v>
      </c>
      <c r="IA1" s="55" t="s">
        <v>2174</v>
      </c>
      <c r="IB1" s="55" t="s">
        <v>2174</v>
      </c>
      <c r="IC1" s="55" t="s">
        <v>2174</v>
      </c>
      <c r="ID1" s="55" t="s">
        <v>2174</v>
      </c>
      <c r="IE1" s="55" t="s">
        <v>2174</v>
      </c>
      <c r="IF1" s="55" t="s">
        <v>2174</v>
      </c>
      <c r="IG1" s="55" t="s">
        <v>2174</v>
      </c>
      <c r="IH1" s="55" t="s">
        <v>2174</v>
      </c>
      <c r="II1" s="55" t="s">
        <v>2174</v>
      </c>
      <c r="IJ1" s="55" t="s">
        <v>2174</v>
      </c>
      <c r="IK1" s="55" t="s">
        <v>2174</v>
      </c>
      <c r="IL1" s="55" t="s">
        <v>2174</v>
      </c>
      <c r="IM1" s="55" t="s">
        <v>2174</v>
      </c>
      <c r="IN1" s="55" t="s">
        <v>2174</v>
      </c>
      <c r="IO1" s="55" t="s">
        <v>2174</v>
      </c>
      <c r="IP1" s="55" t="s">
        <v>2174</v>
      </c>
      <c r="IQ1" s="55" t="s">
        <v>2174</v>
      </c>
      <c r="IR1" s="55" t="s">
        <v>2174</v>
      </c>
      <c r="IS1" s="55" t="s">
        <v>2174</v>
      </c>
      <c r="IT1" s="55" t="s">
        <v>2174</v>
      </c>
      <c r="IU1" s="55" t="s">
        <v>2174</v>
      </c>
      <c r="IV1" s="55" t="s">
        <v>2174</v>
      </c>
      <c r="IW1" s="55" t="s">
        <v>2174</v>
      </c>
      <c r="IX1" s="55" t="s">
        <v>2174</v>
      </c>
      <c r="IY1" s="55" t="s">
        <v>2174</v>
      </c>
      <c r="IZ1" s="55" t="s">
        <v>2174</v>
      </c>
      <c r="JA1" s="55" t="s">
        <v>2174</v>
      </c>
      <c r="JB1" s="55" t="s">
        <v>2174</v>
      </c>
      <c r="JC1" s="55" t="s">
        <v>2174</v>
      </c>
      <c r="JD1" s="55" t="s">
        <v>2174</v>
      </c>
      <c r="JE1" s="55" t="s">
        <v>2174</v>
      </c>
      <c r="JF1" s="55" t="s">
        <v>2174</v>
      </c>
      <c r="JG1" s="55" t="s">
        <v>2174</v>
      </c>
      <c r="JH1" s="55" t="s">
        <v>2174</v>
      </c>
      <c r="JI1" s="55" t="s">
        <v>2174</v>
      </c>
      <c r="JJ1" s="55" t="s">
        <v>2174</v>
      </c>
      <c r="JK1" s="55" t="s">
        <v>2174</v>
      </c>
      <c r="JL1" s="55" t="s">
        <v>2174</v>
      </c>
      <c r="JM1" s="55" t="s">
        <v>2174</v>
      </c>
      <c r="JN1" s="55" t="s">
        <v>2174</v>
      </c>
      <c r="JO1" s="55" t="s">
        <v>2174</v>
      </c>
      <c r="JP1" s="55" t="s">
        <v>2174</v>
      </c>
      <c r="JQ1" s="55" t="s">
        <v>2174</v>
      </c>
      <c r="JR1" s="55" t="s">
        <v>2174</v>
      </c>
      <c r="JS1" s="55" t="s">
        <v>2174</v>
      </c>
      <c r="JT1" s="55" t="s">
        <v>2174</v>
      </c>
      <c r="JU1" s="55" t="s">
        <v>2174</v>
      </c>
      <c r="JV1" s="55" t="s">
        <v>2174</v>
      </c>
      <c r="JW1" s="55" t="s">
        <v>2174</v>
      </c>
      <c r="JX1" s="55" t="s">
        <v>2174</v>
      </c>
      <c r="JY1" s="55" t="s">
        <v>2174</v>
      </c>
      <c r="JZ1" s="55" t="s">
        <v>2174</v>
      </c>
      <c r="KA1" s="55" t="s">
        <v>2174</v>
      </c>
      <c r="KB1" s="55" t="s">
        <v>2174</v>
      </c>
      <c r="KC1" s="55" t="s">
        <v>2174</v>
      </c>
      <c r="KD1" s="55" t="s">
        <v>2174</v>
      </c>
      <c r="KE1" s="55" t="s">
        <v>2174</v>
      </c>
      <c r="KF1" s="55" t="s">
        <v>2174</v>
      </c>
      <c r="KG1" s="55" t="s">
        <v>2174</v>
      </c>
      <c r="KH1" s="55" t="s">
        <v>2174</v>
      </c>
      <c r="KI1" s="55" t="s">
        <v>2174</v>
      </c>
      <c r="KJ1" s="55" t="s">
        <v>2174</v>
      </c>
      <c r="KK1" s="55" t="s">
        <v>2174</v>
      </c>
      <c r="KL1" s="55" t="s">
        <v>2174</v>
      </c>
      <c r="KM1" s="55" t="s">
        <v>2174</v>
      </c>
      <c r="KN1" s="55" t="s">
        <v>2174</v>
      </c>
      <c r="KO1" s="55" t="s">
        <v>2174</v>
      </c>
      <c r="KP1" s="55" t="s">
        <v>2174</v>
      </c>
      <c r="KQ1" s="55" t="s">
        <v>2174</v>
      </c>
      <c r="KR1" s="55" t="s">
        <v>2174</v>
      </c>
      <c r="KS1" s="55" t="s">
        <v>2174</v>
      </c>
      <c r="KT1" s="55" t="s">
        <v>2174</v>
      </c>
      <c r="KU1" s="55" t="s">
        <v>2174</v>
      </c>
      <c r="KV1" s="55" t="s">
        <v>2174</v>
      </c>
      <c r="KW1" s="55" t="s">
        <v>2174</v>
      </c>
      <c r="KX1" s="55" t="s">
        <v>2174</v>
      </c>
      <c r="KY1" s="55" t="s">
        <v>2174</v>
      </c>
      <c r="KZ1" s="55" t="s">
        <v>2174</v>
      </c>
      <c r="LA1" s="55" t="s">
        <v>2174</v>
      </c>
      <c r="LB1" s="55" t="s">
        <v>2174</v>
      </c>
      <c r="LC1" s="55" t="s">
        <v>2174</v>
      </c>
      <c r="LD1" s="55" t="s">
        <v>2174</v>
      </c>
      <c r="LE1" s="55" t="s">
        <v>2174</v>
      </c>
      <c r="LF1" s="55" t="s">
        <v>2174</v>
      </c>
      <c r="LG1" s="55" t="s">
        <v>2174</v>
      </c>
      <c r="LH1" s="55" t="s">
        <v>2174</v>
      </c>
      <c r="LI1" s="55" t="s">
        <v>2174</v>
      </c>
      <c r="LJ1" s="55" t="s">
        <v>2174</v>
      </c>
      <c r="LK1" s="55" t="s">
        <v>2174</v>
      </c>
      <c r="LL1" s="55" t="s">
        <v>2174</v>
      </c>
      <c r="LM1" s="55" t="s">
        <v>2174</v>
      </c>
      <c r="LN1" s="55" t="s">
        <v>2174</v>
      </c>
      <c r="LO1" s="55" t="s">
        <v>2174</v>
      </c>
      <c r="LP1" s="55" t="s">
        <v>2174</v>
      </c>
      <c r="LQ1" s="55" t="s">
        <v>2174</v>
      </c>
      <c r="LR1" s="55" t="s">
        <v>2174</v>
      </c>
      <c r="LS1" s="55" t="s">
        <v>2174</v>
      </c>
      <c r="LT1" s="55" t="s">
        <v>2174</v>
      </c>
      <c r="LU1" s="55" t="s">
        <v>2174</v>
      </c>
      <c r="LV1" s="55" t="s">
        <v>2174</v>
      </c>
      <c r="LW1" s="55" t="s">
        <v>2174</v>
      </c>
      <c r="LX1" s="55" t="s">
        <v>2174</v>
      </c>
      <c r="LY1" s="55" t="s">
        <v>2174</v>
      </c>
      <c r="LZ1" s="55" t="s">
        <v>2174</v>
      </c>
      <c r="MA1" s="55" t="s">
        <v>2174</v>
      </c>
      <c r="MB1" s="55" t="s">
        <v>2174</v>
      </c>
      <c r="MC1" s="55" t="s">
        <v>2174</v>
      </c>
      <c r="MD1" s="55" t="s">
        <v>2174</v>
      </c>
      <c r="ME1" s="55" t="s">
        <v>2174</v>
      </c>
      <c r="MF1" s="55" t="s">
        <v>2174</v>
      </c>
      <c r="MG1" s="55" t="s">
        <v>2174</v>
      </c>
      <c r="MH1" s="55" t="s">
        <v>2174</v>
      </c>
      <c r="MI1" s="55" t="s">
        <v>2174</v>
      </c>
      <c r="MJ1" s="55" t="s">
        <v>2174</v>
      </c>
      <c r="MK1" s="55" t="s">
        <v>2174</v>
      </c>
      <c r="ML1" s="55" t="s">
        <v>2174</v>
      </c>
      <c r="MM1" s="55" t="s">
        <v>2174</v>
      </c>
      <c r="MN1" s="55" t="s">
        <v>2174</v>
      </c>
      <c r="MO1" s="55" t="s">
        <v>2174</v>
      </c>
      <c r="MP1" s="55" t="s">
        <v>2174</v>
      </c>
      <c r="MQ1" s="55" t="s">
        <v>2174</v>
      </c>
      <c r="MR1" s="55" t="s">
        <v>2174</v>
      </c>
      <c r="MS1" s="55" t="s">
        <v>2174</v>
      </c>
      <c r="MT1" s="55" t="s">
        <v>2174</v>
      </c>
      <c r="MU1" s="55" t="s">
        <v>2174</v>
      </c>
      <c r="MV1" s="55" t="s">
        <v>2174</v>
      </c>
      <c r="MW1" s="55" t="s">
        <v>2174</v>
      </c>
      <c r="MX1" s="55" t="s">
        <v>2174</v>
      </c>
      <c r="MY1" s="55" t="s">
        <v>2174</v>
      </c>
      <c r="MZ1" s="55" t="s">
        <v>2174</v>
      </c>
      <c r="NA1" s="55" t="s">
        <v>2174</v>
      </c>
      <c r="NB1" s="55" t="s">
        <v>2174</v>
      </c>
      <c r="NC1" s="55" t="s">
        <v>2174</v>
      </c>
      <c r="ND1" s="55" t="s">
        <v>2174</v>
      </c>
      <c r="NE1" s="55" t="s">
        <v>2174</v>
      </c>
      <c r="NF1" s="55" t="s">
        <v>2174</v>
      </c>
      <c r="NG1" s="55" t="s">
        <v>2174</v>
      </c>
      <c r="NH1" s="55" t="s">
        <v>2174</v>
      </c>
      <c r="NI1" s="55" t="s">
        <v>2174</v>
      </c>
      <c r="NJ1" s="55" t="s">
        <v>2174</v>
      </c>
      <c r="NK1" s="55" t="s">
        <v>2174</v>
      </c>
      <c r="NL1" s="55" t="s">
        <v>2174</v>
      </c>
      <c r="NM1" s="55" t="s">
        <v>2174</v>
      </c>
      <c r="NN1" s="55" t="s">
        <v>2174</v>
      </c>
      <c r="NO1" s="55" t="s">
        <v>2174</v>
      </c>
      <c r="NP1" s="55" t="s">
        <v>2174</v>
      </c>
      <c r="NQ1" s="55" t="s">
        <v>2174</v>
      </c>
      <c r="NR1" s="55" t="s">
        <v>2174</v>
      </c>
      <c r="NS1" s="55" t="s">
        <v>2174</v>
      </c>
      <c r="NT1" s="55" t="s">
        <v>2174</v>
      </c>
      <c r="NU1" s="55" t="s">
        <v>2174</v>
      </c>
      <c r="NV1" s="55" t="s">
        <v>2174</v>
      </c>
      <c r="NW1" s="55" t="s">
        <v>2174</v>
      </c>
      <c r="NX1" s="55" t="s">
        <v>2174</v>
      </c>
      <c r="NY1" s="55" t="s">
        <v>2174</v>
      </c>
      <c r="NZ1" s="55" t="s">
        <v>2174</v>
      </c>
      <c r="OA1" s="55" t="s">
        <v>2174</v>
      </c>
      <c r="OB1" s="55" t="s">
        <v>2174</v>
      </c>
      <c r="OC1" s="55" t="s">
        <v>2174</v>
      </c>
      <c r="OD1" s="55" t="s">
        <v>2174</v>
      </c>
      <c r="OE1" s="55" t="s">
        <v>2174</v>
      </c>
      <c r="OF1" s="55" t="s">
        <v>2174</v>
      </c>
      <c r="OG1" s="55" t="s">
        <v>2174</v>
      </c>
      <c r="OH1" s="55" t="s">
        <v>2174</v>
      </c>
      <c r="OI1" s="55" t="s">
        <v>2174</v>
      </c>
      <c r="OJ1" s="55" t="s">
        <v>2174</v>
      </c>
      <c r="OK1" s="55" t="s">
        <v>2174</v>
      </c>
      <c r="OL1" s="55" t="s">
        <v>2174</v>
      </c>
      <c r="OM1" s="55" t="s">
        <v>2174</v>
      </c>
      <c r="ON1" s="55" t="s">
        <v>2174</v>
      </c>
      <c r="OO1" s="55" t="s">
        <v>2174</v>
      </c>
      <c r="OP1" s="55" t="s">
        <v>2174</v>
      </c>
      <c r="OQ1" s="55" t="s">
        <v>2174</v>
      </c>
      <c r="OR1" s="55" t="s">
        <v>2174</v>
      </c>
      <c r="OS1" s="55" t="s">
        <v>2174</v>
      </c>
      <c r="OT1" s="55" t="s">
        <v>2174</v>
      </c>
      <c r="OU1" s="55" t="s">
        <v>2174</v>
      </c>
      <c r="OV1" s="55" t="s">
        <v>2174</v>
      </c>
      <c r="OW1" s="55" t="s">
        <v>2174</v>
      </c>
      <c r="OX1" s="55" t="s">
        <v>2174</v>
      </c>
      <c r="OY1" s="55" t="s">
        <v>2174</v>
      </c>
      <c r="OZ1" s="55" t="s">
        <v>2174</v>
      </c>
      <c r="PA1" s="55" t="s">
        <v>2174</v>
      </c>
      <c r="PB1" s="55" t="s">
        <v>2174</v>
      </c>
      <c r="PC1" s="55" t="s">
        <v>2174</v>
      </c>
      <c r="PD1" s="55" t="s">
        <v>2174</v>
      </c>
      <c r="PE1" s="55" t="s">
        <v>2174</v>
      </c>
      <c r="PF1" s="55" t="s">
        <v>2174</v>
      </c>
      <c r="PG1" s="55" t="s">
        <v>2174</v>
      </c>
      <c r="PH1" s="55" t="s">
        <v>2174</v>
      </c>
      <c r="PI1" s="55" t="s">
        <v>2174</v>
      </c>
      <c r="PJ1" s="55" t="s">
        <v>2174</v>
      </c>
      <c r="PK1" s="55" t="s">
        <v>2174</v>
      </c>
      <c r="PL1" s="55" t="s">
        <v>2174</v>
      </c>
      <c r="PM1" s="55" t="s">
        <v>2174</v>
      </c>
      <c r="PN1" s="55" t="s">
        <v>2174</v>
      </c>
      <c r="PO1" s="55" t="s">
        <v>2174</v>
      </c>
      <c r="PP1" s="55" t="s">
        <v>2174</v>
      </c>
      <c r="PQ1" s="55" t="s">
        <v>2174</v>
      </c>
      <c r="PR1" s="55" t="s">
        <v>2174</v>
      </c>
      <c r="PS1" s="55" t="s">
        <v>2174</v>
      </c>
      <c r="PT1" s="55" t="s">
        <v>2174</v>
      </c>
      <c r="PU1" s="55" t="s">
        <v>2174</v>
      </c>
      <c r="PV1" s="55" t="s">
        <v>2174</v>
      </c>
      <c r="PW1" s="55" t="s">
        <v>2174</v>
      </c>
      <c r="PX1" s="55" t="s">
        <v>2174</v>
      </c>
      <c r="PY1" s="55" t="s">
        <v>2174</v>
      </c>
      <c r="PZ1" s="55" t="s">
        <v>2174</v>
      </c>
      <c r="QA1" s="55" t="s">
        <v>2174</v>
      </c>
      <c r="QB1" s="55" t="s">
        <v>2174</v>
      </c>
      <c r="QC1" s="55" t="s">
        <v>2174</v>
      </c>
      <c r="QD1" s="55" t="s">
        <v>2174</v>
      </c>
      <c r="QE1" s="55" t="s">
        <v>2174</v>
      </c>
      <c r="QF1" s="55" t="s">
        <v>2174</v>
      </c>
      <c r="QG1" s="55" t="s">
        <v>2174</v>
      </c>
      <c r="QH1" s="55" t="s">
        <v>2174</v>
      </c>
      <c r="QI1" s="55" t="s">
        <v>2174</v>
      </c>
      <c r="QJ1" s="55" t="s">
        <v>2174</v>
      </c>
      <c r="QK1" s="55" t="s">
        <v>2174</v>
      </c>
      <c r="QL1" s="55" t="s">
        <v>2174</v>
      </c>
      <c r="QM1" s="55" t="s">
        <v>2174</v>
      </c>
      <c r="QN1" s="55" t="s">
        <v>2174</v>
      </c>
      <c r="QO1" s="55" t="s">
        <v>2174</v>
      </c>
      <c r="QP1" s="55" t="s">
        <v>2174</v>
      </c>
      <c r="QQ1" s="55" t="s">
        <v>2174</v>
      </c>
      <c r="QR1" s="55" t="s">
        <v>2174</v>
      </c>
      <c r="QS1" s="55" t="s">
        <v>2174</v>
      </c>
      <c r="QT1" s="55" t="s">
        <v>2174</v>
      </c>
      <c r="QU1" s="55" t="s">
        <v>2174</v>
      </c>
      <c r="QV1" s="55" t="s">
        <v>2174</v>
      </c>
      <c r="QW1" s="55" t="s">
        <v>2174</v>
      </c>
      <c r="QX1" s="55" t="s">
        <v>2174</v>
      </c>
      <c r="QY1" s="55" t="s">
        <v>2174</v>
      </c>
      <c r="QZ1" s="55" t="s">
        <v>2174</v>
      </c>
      <c r="RA1" s="55" t="s">
        <v>2174</v>
      </c>
      <c r="RB1" s="55" t="s">
        <v>2174</v>
      </c>
      <c r="RC1" s="55" t="s">
        <v>2174</v>
      </c>
      <c r="RD1" s="55" t="s">
        <v>2174</v>
      </c>
      <c r="RE1" s="55" t="s">
        <v>2174</v>
      </c>
      <c r="RF1" s="55" t="s">
        <v>2174</v>
      </c>
      <c r="RG1" s="55" t="s">
        <v>2174</v>
      </c>
      <c r="RH1" s="55" t="s">
        <v>2174</v>
      </c>
      <c r="RI1" s="55" t="s">
        <v>2174</v>
      </c>
      <c r="RJ1" s="55" t="s">
        <v>2174</v>
      </c>
      <c r="RK1" s="55" t="s">
        <v>2174</v>
      </c>
      <c r="RL1" s="55" t="s">
        <v>2174</v>
      </c>
      <c r="RM1" s="55" t="s">
        <v>2174</v>
      </c>
      <c r="RN1" s="55" t="s">
        <v>2174</v>
      </c>
      <c r="RO1" s="55" t="s">
        <v>2174</v>
      </c>
      <c r="RP1" s="55" t="s">
        <v>2174</v>
      </c>
      <c r="RQ1" s="55" t="s">
        <v>2174</v>
      </c>
      <c r="RR1" s="55" t="s">
        <v>2174</v>
      </c>
      <c r="RS1" s="55" t="s">
        <v>2174</v>
      </c>
      <c r="RT1" s="55" t="s">
        <v>2174</v>
      </c>
      <c r="RU1" s="55" t="s">
        <v>2174</v>
      </c>
      <c r="RV1" s="55" t="s">
        <v>2174</v>
      </c>
      <c r="RW1" s="55" t="s">
        <v>2174</v>
      </c>
      <c r="RX1" s="55" t="s">
        <v>2174</v>
      </c>
      <c r="RY1" s="55" t="s">
        <v>2174</v>
      </c>
      <c r="RZ1" s="55" t="s">
        <v>2174</v>
      </c>
      <c r="SA1" s="55" t="s">
        <v>2174</v>
      </c>
      <c r="SB1" s="55" t="s">
        <v>2174</v>
      </c>
      <c r="SC1" s="55" t="s">
        <v>2174</v>
      </c>
      <c r="SD1" s="55" t="s">
        <v>2174</v>
      </c>
      <c r="SE1" s="55" t="s">
        <v>2174</v>
      </c>
      <c r="SF1" s="55" t="s">
        <v>2174</v>
      </c>
      <c r="SG1" s="55" t="s">
        <v>2174</v>
      </c>
      <c r="SH1" s="55" t="s">
        <v>2174</v>
      </c>
      <c r="SI1" s="55" t="s">
        <v>2174</v>
      </c>
      <c r="SJ1" s="55" t="s">
        <v>2174</v>
      </c>
      <c r="SK1" s="55" t="s">
        <v>2174</v>
      </c>
      <c r="SL1" s="55" t="s">
        <v>2174</v>
      </c>
      <c r="SM1" s="55" t="s">
        <v>2174</v>
      </c>
      <c r="SN1" s="55" t="s">
        <v>2174</v>
      </c>
      <c r="SO1" s="55" t="s">
        <v>2174</v>
      </c>
      <c r="SP1" s="55" t="s">
        <v>2174</v>
      </c>
      <c r="SQ1" s="55" t="s">
        <v>2174</v>
      </c>
      <c r="SR1" s="55" t="s">
        <v>2174</v>
      </c>
      <c r="SS1" s="55" t="s">
        <v>2174</v>
      </c>
      <c r="ST1" s="55" t="s">
        <v>2174</v>
      </c>
      <c r="SU1" s="55" t="s">
        <v>2174</v>
      </c>
      <c r="SV1" s="55" t="s">
        <v>2174</v>
      </c>
      <c r="SW1" s="55" t="s">
        <v>2174</v>
      </c>
      <c r="SX1" s="55" t="s">
        <v>2174</v>
      </c>
      <c r="SY1" s="55" t="s">
        <v>2174</v>
      </c>
      <c r="SZ1" s="55" t="s">
        <v>2174</v>
      </c>
      <c r="TA1" s="55" t="s">
        <v>2174</v>
      </c>
      <c r="TB1" s="55" t="s">
        <v>2174</v>
      </c>
      <c r="TC1" s="55" t="s">
        <v>2174</v>
      </c>
      <c r="TD1" s="55" t="s">
        <v>2174</v>
      </c>
      <c r="TE1" s="55" t="s">
        <v>2174</v>
      </c>
      <c r="TF1" s="55" t="s">
        <v>2174</v>
      </c>
      <c r="TG1" s="55" t="s">
        <v>2174</v>
      </c>
      <c r="TH1" s="55" t="s">
        <v>2174</v>
      </c>
      <c r="TI1" s="55" t="s">
        <v>2174</v>
      </c>
      <c r="TJ1" s="55" t="s">
        <v>2174</v>
      </c>
      <c r="TK1" s="55" t="s">
        <v>2174</v>
      </c>
      <c r="TL1" s="55" t="s">
        <v>2174</v>
      </c>
      <c r="TM1" s="55" t="s">
        <v>2174</v>
      </c>
      <c r="TN1" s="55" t="s">
        <v>2174</v>
      </c>
      <c r="TO1" s="55" t="s">
        <v>2174</v>
      </c>
      <c r="TP1" s="55" t="s">
        <v>2174</v>
      </c>
      <c r="TQ1" s="55" t="s">
        <v>2174</v>
      </c>
      <c r="TR1" s="55" t="s">
        <v>2174</v>
      </c>
      <c r="TS1" s="55" t="s">
        <v>2174</v>
      </c>
      <c r="TT1" s="55" t="s">
        <v>2174</v>
      </c>
      <c r="TU1" s="55" t="s">
        <v>2174</v>
      </c>
      <c r="TV1" s="55" t="s">
        <v>2174</v>
      </c>
      <c r="TW1" s="55" t="s">
        <v>2174</v>
      </c>
      <c r="TX1" s="55" t="s">
        <v>2174</v>
      </c>
      <c r="TY1" s="55" t="s">
        <v>2174</v>
      </c>
      <c r="TZ1" s="55" t="s">
        <v>2174</v>
      </c>
      <c r="UA1" s="55" t="s">
        <v>2174</v>
      </c>
      <c r="UB1" s="55" t="s">
        <v>2174</v>
      </c>
      <c r="UC1" s="55" t="s">
        <v>2174</v>
      </c>
      <c r="UD1" s="55" t="s">
        <v>2174</v>
      </c>
      <c r="UE1" s="55" t="s">
        <v>2174</v>
      </c>
      <c r="UF1" s="55" t="s">
        <v>2174</v>
      </c>
      <c r="UG1" s="55" t="s">
        <v>2174</v>
      </c>
      <c r="UH1" s="55" t="s">
        <v>2174</v>
      </c>
      <c r="UI1" s="55" t="s">
        <v>2174</v>
      </c>
      <c r="UJ1" s="55" t="s">
        <v>2174</v>
      </c>
      <c r="UK1" s="55" t="s">
        <v>2174</v>
      </c>
      <c r="UL1" s="55" t="s">
        <v>2174</v>
      </c>
      <c r="UM1" s="55" t="s">
        <v>2174</v>
      </c>
      <c r="UN1" s="55" t="s">
        <v>2174</v>
      </c>
      <c r="UO1" s="55" t="s">
        <v>2174</v>
      </c>
      <c r="UP1" s="55" t="s">
        <v>2174</v>
      </c>
      <c r="UQ1" s="55" t="s">
        <v>2174</v>
      </c>
      <c r="UR1" s="55" t="s">
        <v>2174</v>
      </c>
      <c r="US1" s="55" t="s">
        <v>2174</v>
      </c>
      <c r="UT1" s="55" t="s">
        <v>2174</v>
      </c>
      <c r="UU1" s="55" t="s">
        <v>2174</v>
      </c>
      <c r="UV1" s="55" t="s">
        <v>2174</v>
      </c>
      <c r="UW1" s="55" t="s">
        <v>2174</v>
      </c>
      <c r="UX1" s="55" t="s">
        <v>2174</v>
      </c>
      <c r="UY1" s="55" t="s">
        <v>2174</v>
      </c>
      <c r="UZ1" s="55" t="s">
        <v>2174</v>
      </c>
      <c r="VA1" s="55" t="s">
        <v>2174</v>
      </c>
      <c r="VB1" s="55" t="s">
        <v>2174</v>
      </c>
      <c r="VC1" s="55" t="s">
        <v>2174</v>
      </c>
      <c r="VD1" s="55" t="s">
        <v>2174</v>
      </c>
      <c r="VE1" s="55" t="s">
        <v>2174</v>
      </c>
      <c r="VF1" s="55" t="s">
        <v>2174</v>
      </c>
      <c r="VG1" s="55" t="s">
        <v>2174</v>
      </c>
      <c r="VH1" s="55" t="s">
        <v>2174</v>
      </c>
      <c r="VI1" s="55" t="s">
        <v>2174</v>
      </c>
      <c r="VJ1" s="55" t="s">
        <v>2174</v>
      </c>
      <c r="VK1" s="55" t="s">
        <v>2174</v>
      </c>
      <c r="VL1" s="55" t="s">
        <v>2174</v>
      </c>
      <c r="VM1" s="55" t="s">
        <v>2174</v>
      </c>
      <c r="VN1" s="55" t="s">
        <v>2174</v>
      </c>
      <c r="VO1" s="55" t="s">
        <v>2174</v>
      </c>
      <c r="VP1" s="55" t="s">
        <v>2174</v>
      </c>
      <c r="VQ1" s="55" t="s">
        <v>2174</v>
      </c>
      <c r="VR1" s="55" t="s">
        <v>2174</v>
      </c>
      <c r="VS1" s="55" t="s">
        <v>2174</v>
      </c>
      <c r="VT1" s="55" t="s">
        <v>2174</v>
      </c>
      <c r="VU1" s="55" t="s">
        <v>2174</v>
      </c>
      <c r="VV1" s="55" t="s">
        <v>2174</v>
      </c>
      <c r="VW1" s="55" t="s">
        <v>2174</v>
      </c>
      <c r="VX1" s="55" t="s">
        <v>2174</v>
      </c>
      <c r="VY1" s="55" t="s">
        <v>2174</v>
      </c>
      <c r="VZ1" s="55" t="s">
        <v>2174</v>
      </c>
      <c r="WA1" s="55" t="s">
        <v>2174</v>
      </c>
      <c r="WB1" s="55" t="s">
        <v>2174</v>
      </c>
      <c r="WC1" s="55" t="s">
        <v>2174</v>
      </c>
      <c r="WD1" s="55" t="s">
        <v>2174</v>
      </c>
      <c r="WE1" s="55" t="s">
        <v>2174</v>
      </c>
      <c r="WF1" s="55" t="s">
        <v>2174</v>
      </c>
      <c r="WG1" s="55" t="s">
        <v>2174</v>
      </c>
      <c r="WH1" s="55" t="s">
        <v>2174</v>
      </c>
      <c r="WI1" s="55" t="s">
        <v>2174</v>
      </c>
      <c r="WJ1" s="55" t="s">
        <v>2174</v>
      </c>
      <c r="WK1" s="55" t="s">
        <v>2174</v>
      </c>
      <c r="WL1" s="55" t="s">
        <v>2174</v>
      </c>
      <c r="WM1" s="55" t="s">
        <v>2174</v>
      </c>
      <c r="WN1" s="55" t="s">
        <v>2174</v>
      </c>
      <c r="WO1" s="55" t="s">
        <v>2174</v>
      </c>
      <c r="WP1" s="55" t="s">
        <v>2174</v>
      </c>
      <c r="WQ1" s="55" t="s">
        <v>2174</v>
      </c>
      <c r="WR1" s="55" t="s">
        <v>2174</v>
      </c>
      <c r="WS1" s="55" t="s">
        <v>2174</v>
      </c>
      <c r="WT1" s="55" t="s">
        <v>2174</v>
      </c>
      <c r="WU1" s="55" t="s">
        <v>2174</v>
      </c>
      <c r="WV1" s="55" t="s">
        <v>2174</v>
      </c>
      <c r="WW1" s="55" t="s">
        <v>2174</v>
      </c>
      <c r="WX1" s="55" t="s">
        <v>2174</v>
      </c>
      <c r="WY1" s="55" t="s">
        <v>2174</v>
      </c>
      <c r="WZ1" s="55" t="s">
        <v>2174</v>
      </c>
      <c r="XA1" s="55" t="s">
        <v>2174</v>
      </c>
      <c r="XB1" s="55" t="s">
        <v>2174</v>
      </c>
      <c r="XC1" s="55" t="s">
        <v>2174</v>
      </c>
      <c r="XD1" s="55" t="s">
        <v>2174</v>
      </c>
      <c r="XE1" s="55" t="s">
        <v>2174</v>
      </c>
      <c r="XF1" s="55" t="s">
        <v>2174</v>
      </c>
      <c r="XG1" s="55" t="s">
        <v>2174</v>
      </c>
      <c r="XH1" s="55" t="s">
        <v>2174</v>
      </c>
      <c r="XI1" s="55" t="s">
        <v>2174</v>
      </c>
      <c r="XJ1" s="55" t="s">
        <v>2174</v>
      </c>
      <c r="XK1" s="55" t="s">
        <v>2174</v>
      </c>
      <c r="XL1" s="55" t="s">
        <v>2174</v>
      </c>
      <c r="XM1" s="55" t="s">
        <v>2174</v>
      </c>
      <c r="XN1" s="55" t="s">
        <v>2174</v>
      </c>
      <c r="XO1" s="55" t="s">
        <v>2174</v>
      </c>
      <c r="XP1" s="55" t="s">
        <v>2174</v>
      </c>
      <c r="XQ1" s="55" t="s">
        <v>2174</v>
      </c>
      <c r="XR1" s="55" t="s">
        <v>2174</v>
      </c>
      <c r="XS1" s="55" t="s">
        <v>2174</v>
      </c>
      <c r="XT1" s="55" t="s">
        <v>2174</v>
      </c>
      <c r="XU1" s="55" t="s">
        <v>2174</v>
      </c>
      <c r="XV1" s="55" t="s">
        <v>2174</v>
      </c>
      <c r="XW1" s="55" t="s">
        <v>2174</v>
      </c>
      <c r="XX1" s="55" t="s">
        <v>2174</v>
      </c>
      <c r="XY1" s="55" t="s">
        <v>2174</v>
      </c>
      <c r="XZ1" s="55" t="s">
        <v>2174</v>
      </c>
      <c r="YA1" s="55" t="s">
        <v>2174</v>
      </c>
      <c r="YB1" s="55" t="s">
        <v>2174</v>
      </c>
      <c r="YC1" s="55" t="s">
        <v>2174</v>
      </c>
      <c r="YD1" s="55" t="s">
        <v>2174</v>
      </c>
      <c r="YE1" s="55" t="s">
        <v>2174</v>
      </c>
      <c r="YF1" s="55" t="s">
        <v>2174</v>
      </c>
      <c r="YG1" s="55" t="s">
        <v>2174</v>
      </c>
      <c r="YH1" s="55" t="s">
        <v>2174</v>
      </c>
      <c r="YI1" s="55" t="s">
        <v>2174</v>
      </c>
      <c r="YJ1" s="55" t="s">
        <v>2174</v>
      </c>
      <c r="YK1" s="55" t="s">
        <v>2174</v>
      </c>
      <c r="YL1" s="55" t="s">
        <v>2174</v>
      </c>
      <c r="YM1" s="55" t="s">
        <v>2174</v>
      </c>
      <c r="YN1" s="55" t="s">
        <v>2174</v>
      </c>
      <c r="YO1" s="55" t="s">
        <v>2174</v>
      </c>
      <c r="YP1" s="55" t="s">
        <v>2174</v>
      </c>
      <c r="YQ1" s="55" t="s">
        <v>2174</v>
      </c>
      <c r="YR1" s="55" t="s">
        <v>2174</v>
      </c>
      <c r="YS1" s="55" t="s">
        <v>2174</v>
      </c>
      <c r="YT1" s="55" t="s">
        <v>2174</v>
      </c>
      <c r="YU1" s="55" t="s">
        <v>2174</v>
      </c>
      <c r="YV1" s="55" t="s">
        <v>2174</v>
      </c>
      <c r="YW1" s="55" t="s">
        <v>2174</v>
      </c>
      <c r="YX1" s="55" t="s">
        <v>2174</v>
      </c>
      <c r="YY1" s="55" t="s">
        <v>2174</v>
      </c>
      <c r="YZ1" s="55" t="s">
        <v>2174</v>
      </c>
      <c r="ZA1" s="55" t="s">
        <v>2174</v>
      </c>
      <c r="ZB1" s="55" t="s">
        <v>2174</v>
      </c>
      <c r="ZC1" s="55" t="s">
        <v>2174</v>
      </c>
      <c r="ZD1" s="55" t="s">
        <v>2174</v>
      </c>
      <c r="ZE1" s="55" t="s">
        <v>2174</v>
      </c>
      <c r="ZF1" s="55" t="s">
        <v>2174</v>
      </c>
      <c r="ZG1" s="55" t="s">
        <v>2174</v>
      </c>
      <c r="ZH1" s="55" t="s">
        <v>2174</v>
      </c>
      <c r="ZI1" s="55" t="s">
        <v>2174</v>
      </c>
      <c r="ZJ1" s="55" t="s">
        <v>2174</v>
      </c>
      <c r="ZK1" s="55" t="s">
        <v>2174</v>
      </c>
      <c r="ZL1" s="55" t="s">
        <v>2174</v>
      </c>
      <c r="ZM1" s="55" t="s">
        <v>2174</v>
      </c>
      <c r="ZN1" s="55" t="s">
        <v>2174</v>
      </c>
      <c r="ZO1" s="55" t="s">
        <v>2174</v>
      </c>
      <c r="ZP1" s="55" t="s">
        <v>2174</v>
      </c>
      <c r="ZQ1" s="55" t="s">
        <v>2174</v>
      </c>
      <c r="ZR1" s="55" t="s">
        <v>2174</v>
      </c>
      <c r="ZS1" s="55" t="s">
        <v>2174</v>
      </c>
      <c r="ZT1" s="55" t="s">
        <v>2174</v>
      </c>
      <c r="ZU1" s="55" t="s">
        <v>2174</v>
      </c>
      <c r="ZV1" s="55" t="s">
        <v>2174</v>
      </c>
      <c r="ZW1" s="55" t="s">
        <v>2174</v>
      </c>
      <c r="ZX1" s="55" t="s">
        <v>2174</v>
      </c>
      <c r="ZY1" s="55" t="s">
        <v>2174</v>
      </c>
      <c r="ZZ1" s="55" t="s">
        <v>2174</v>
      </c>
      <c r="AAA1" s="55" t="s">
        <v>2174</v>
      </c>
      <c r="AAB1" s="55" t="s">
        <v>2174</v>
      </c>
      <c r="AAC1" s="55" t="s">
        <v>2174</v>
      </c>
      <c r="AAD1" s="55" t="s">
        <v>2174</v>
      </c>
      <c r="AAE1" s="55" t="s">
        <v>2174</v>
      </c>
      <c r="AAF1" s="55" t="s">
        <v>2174</v>
      </c>
      <c r="AAG1" s="55" t="s">
        <v>2174</v>
      </c>
      <c r="AAH1" s="55" t="s">
        <v>2174</v>
      </c>
      <c r="AAI1" s="55" t="s">
        <v>2174</v>
      </c>
      <c r="AAJ1" s="55" t="s">
        <v>2174</v>
      </c>
      <c r="AAK1" s="55" t="s">
        <v>2174</v>
      </c>
      <c r="AAL1" s="55" t="s">
        <v>2174</v>
      </c>
      <c r="AAM1" s="55" t="s">
        <v>2174</v>
      </c>
      <c r="AAN1" s="55" t="s">
        <v>2174</v>
      </c>
      <c r="AAO1" s="55" t="s">
        <v>2174</v>
      </c>
      <c r="AAP1" s="55" t="s">
        <v>2174</v>
      </c>
      <c r="AAQ1" s="55" t="s">
        <v>2174</v>
      </c>
      <c r="AAR1" s="55" t="s">
        <v>2174</v>
      </c>
      <c r="AAS1" s="55" t="s">
        <v>2174</v>
      </c>
      <c r="AAT1" s="55" t="s">
        <v>2174</v>
      </c>
      <c r="AAU1" s="55" t="s">
        <v>2174</v>
      </c>
      <c r="AAV1" s="55" t="s">
        <v>2174</v>
      </c>
      <c r="AAW1" s="55" t="s">
        <v>2174</v>
      </c>
      <c r="AAX1" s="55" t="s">
        <v>2174</v>
      </c>
      <c r="AAY1" s="55" t="s">
        <v>2174</v>
      </c>
      <c r="AAZ1" s="55" t="s">
        <v>2174</v>
      </c>
      <c r="ABA1" s="55" t="s">
        <v>2174</v>
      </c>
      <c r="ABB1" s="55" t="s">
        <v>2174</v>
      </c>
      <c r="ABC1" s="55" t="s">
        <v>2174</v>
      </c>
      <c r="ABD1" s="55" t="s">
        <v>2174</v>
      </c>
      <c r="ABE1" s="55" t="s">
        <v>2174</v>
      </c>
      <c r="ABF1" s="55" t="s">
        <v>2174</v>
      </c>
      <c r="ABG1" s="55" t="s">
        <v>2174</v>
      </c>
      <c r="ABH1" s="55" t="s">
        <v>2174</v>
      </c>
      <c r="ABI1" s="55" t="s">
        <v>2174</v>
      </c>
      <c r="ABJ1" s="55" t="s">
        <v>2174</v>
      </c>
      <c r="ABK1" s="55" t="s">
        <v>2174</v>
      </c>
      <c r="ABL1" s="55" t="s">
        <v>2174</v>
      </c>
      <c r="ABM1" s="55" t="s">
        <v>2174</v>
      </c>
      <c r="ABN1" s="55" t="s">
        <v>2174</v>
      </c>
      <c r="ABO1" s="55" t="s">
        <v>2174</v>
      </c>
      <c r="ABP1" s="55" t="s">
        <v>2174</v>
      </c>
      <c r="ABQ1" s="55" t="s">
        <v>2174</v>
      </c>
      <c r="ABR1" s="55" t="s">
        <v>2174</v>
      </c>
      <c r="ABS1" s="55" t="s">
        <v>2174</v>
      </c>
      <c r="ABT1" s="55" t="s">
        <v>2174</v>
      </c>
      <c r="ABU1" s="55" t="s">
        <v>2174</v>
      </c>
      <c r="ABV1" s="55" t="s">
        <v>2174</v>
      </c>
      <c r="ABW1" s="55" t="s">
        <v>2174</v>
      </c>
      <c r="ABX1" s="55" t="s">
        <v>2174</v>
      </c>
      <c r="ABY1" s="55" t="s">
        <v>2174</v>
      </c>
      <c r="ABZ1" s="55" t="s">
        <v>2174</v>
      </c>
      <c r="ACA1" s="55" t="s">
        <v>2174</v>
      </c>
      <c r="ACB1" s="55" t="s">
        <v>2174</v>
      </c>
      <c r="ACC1" s="55" t="s">
        <v>2174</v>
      </c>
      <c r="ACD1" s="55" t="s">
        <v>2174</v>
      </c>
      <c r="ACE1" s="55" t="s">
        <v>2174</v>
      </c>
      <c r="ACF1" s="55" t="s">
        <v>2174</v>
      </c>
      <c r="ACG1" s="55" t="s">
        <v>2174</v>
      </c>
      <c r="ACH1" s="55" t="s">
        <v>2174</v>
      </c>
      <c r="ACI1" s="55" t="s">
        <v>2174</v>
      </c>
      <c r="ACJ1" s="55" t="s">
        <v>2174</v>
      </c>
      <c r="ACK1" s="55" t="s">
        <v>2174</v>
      </c>
      <c r="ACL1" s="55" t="s">
        <v>2174</v>
      </c>
      <c r="ACM1" s="55" t="s">
        <v>2174</v>
      </c>
      <c r="ACN1" s="55" t="s">
        <v>2174</v>
      </c>
      <c r="ACO1" s="55" t="s">
        <v>2174</v>
      </c>
      <c r="ACP1" s="55" t="s">
        <v>2174</v>
      </c>
      <c r="ACQ1" s="55" t="s">
        <v>2174</v>
      </c>
      <c r="ACR1" s="55" t="s">
        <v>2174</v>
      </c>
      <c r="ACS1" s="55" t="s">
        <v>2174</v>
      </c>
      <c r="ACT1" s="55" t="s">
        <v>2174</v>
      </c>
      <c r="ACU1" s="55" t="s">
        <v>2174</v>
      </c>
      <c r="ACV1" s="55" t="s">
        <v>2174</v>
      </c>
      <c r="ACW1" s="55" t="s">
        <v>2174</v>
      </c>
      <c r="ACX1" s="55" t="s">
        <v>2174</v>
      </c>
      <c r="ACY1" s="55" t="s">
        <v>2174</v>
      </c>
      <c r="ACZ1" s="55" t="s">
        <v>2174</v>
      </c>
      <c r="ADA1" s="55" t="s">
        <v>2174</v>
      </c>
      <c r="ADB1" s="55" t="s">
        <v>2174</v>
      </c>
      <c r="ADC1" s="55" t="s">
        <v>2174</v>
      </c>
      <c r="ADD1" s="55" t="s">
        <v>2174</v>
      </c>
      <c r="ADE1" s="55" t="s">
        <v>2174</v>
      </c>
      <c r="ADF1" s="55" t="s">
        <v>2174</v>
      </c>
      <c r="ADG1" s="55" t="s">
        <v>2174</v>
      </c>
      <c r="ADH1" s="55" t="s">
        <v>2174</v>
      </c>
      <c r="ADI1" s="55" t="s">
        <v>2174</v>
      </c>
      <c r="ADJ1" s="55" t="s">
        <v>2174</v>
      </c>
      <c r="ADK1" s="55" t="s">
        <v>2174</v>
      </c>
      <c r="ADL1" s="55" t="s">
        <v>2174</v>
      </c>
      <c r="ADM1" s="55" t="s">
        <v>2174</v>
      </c>
      <c r="ADN1" s="55" t="s">
        <v>2174</v>
      </c>
      <c r="ADO1" s="55" t="s">
        <v>2174</v>
      </c>
      <c r="ADP1" s="55" t="s">
        <v>2174</v>
      </c>
      <c r="ADQ1" s="55" t="s">
        <v>2174</v>
      </c>
      <c r="ADR1" s="55" t="s">
        <v>2174</v>
      </c>
      <c r="ADS1" s="55" t="s">
        <v>2174</v>
      </c>
      <c r="ADT1" s="55" t="s">
        <v>2174</v>
      </c>
      <c r="ADU1" s="55" t="s">
        <v>2174</v>
      </c>
      <c r="ADV1" s="55" t="s">
        <v>2174</v>
      </c>
      <c r="ADW1" s="55" t="s">
        <v>2174</v>
      </c>
      <c r="ADX1" s="55" t="s">
        <v>2174</v>
      </c>
      <c r="ADY1" s="55" t="s">
        <v>2174</v>
      </c>
      <c r="ADZ1" s="55" t="s">
        <v>2174</v>
      </c>
      <c r="AEA1" s="55" t="s">
        <v>2174</v>
      </c>
      <c r="AEB1" s="55" t="s">
        <v>2174</v>
      </c>
      <c r="AEC1" s="55" t="s">
        <v>2174</v>
      </c>
      <c r="AED1" s="55" t="s">
        <v>2174</v>
      </c>
      <c r="AEE1" s="55" t="s">
        <v>2174</v>
      </c>
      <c r="AEF1" s="55" t="s">
        <v>2174</v>
      </c>
      <c r="AEG1" s="55" t="s">
        <v>2174</v>
      </c>
      <c r="AEH1" s="55" t="s">
        <v>2174</v>
      </c>
      <c r="AEI1" s="55" t="s">
        <v>2174</v>
      </c>
      <c r="AEJ1" s="55" t="s">
        <v>2174</v>
      </c>
      <c r="AEK1" s="55" t="s">
        <v>2174</v>
      </c>
      <c r="AEL1" s="55" t="s">
        <v>2174</v>
      </c>
      <c r="AEM1" s="55" t="s">
        <v>2174</v>
      </c>
      <c r="AEN1" s="55" t="s">
        <v>2174</v>
      </c>
      <c r="AEO1" s="55" t="s">
        <v>2174</v>
      </c>
      <c r="AEP1" s="55" t="s">
        <v>2174</v>
      </c>
      <c r="AEQ1" s="55" t="s">
        <v>2174</v>
      </c>
      <c r="AER1" s="55" t="s">
        <v>2174</v>
      </c>
      <c r="AES1" s="55" t="s">
        <v>2174</v>
      </c>
      <c r="AET1" s="55" t="s">
        <v>2174</v>
      </c>
      <c r="AEU1" s="55" t="s">
        <v>2174</v>
      </c>
      <c r="AEV1" s="55" t="s">
        <v>2174</v>
      </c>
      <c r="AEW1" s="55" t="s">
        <v>2174</v>
      </c>
      <c r="AEX1" s="55" t="s">
        <v>2174</v>
      </c>
      <c r="AEY1" s="55" t="s">
        <v>2174</v>
      </c>
      <c r="AEZ1" s="55" t="s">
        <v>2174</v>
      </c>
      <c r="AFA1" s="55" t="s">
        <v>2174</v>
      </c>
      <c r="AFB1" s="55" t="s">
        <v>2174</v>
      </c>
      <c r="AFC1" s="55" t="s">
        <v>2174</v>
      </c>
      <c r="AFD1" s="55" t="s">
        <v>2174</v>
      </c>
      <c r="AFE1" s="55" t="s">
        <v>2174</v>
      </c>
      <c r="AFF1" s="55" t="s">
        <v>2174</v>
      </c>
      <c r="AFG1" s="55" t="s">
        <v>2174</v>
      </c>
      <c r="AFH1" s="55" t="s">
        <v>2174</v>
      </c>
      <c r="AFI1" s="55" t="s">
        <v>2174</v>
      </c>
      <c r="AFJ1" s="55" t="s">
        <v>2174</v>
      </c>
      <c r="AFK1" s="55" t="s">
        <v>2174</v>
      </c>
      <c r="AFL1" s="55" t="s">
        <v>2174</v>
      </c>
      <c r="AFM1" s="55" t="s">
        <v>2174</v>
      </c>
      <c r="AFN1" s="55" t="s">
        <v>2174</v>
      </c>
      <c r="AFO1" s="55" t="s">
        <v>2174</v>
      </c>
      <c r="AFP1" s="55" t="s">
        <v>2174</v>
      </c>
      <c r="AFQ1" s="55" t="s">
        <v>2174</v>
      </c>
      <c r="AFR1" s="55" t="s">
        <v>2174</v>
      </c>
      <c r="AFS1" s="55" t="s">
        <v>2174</v>
      </c>
      <c r="AFT1" s="55" t="s">
        <v>2174</v>
      </c>
      <c r="AFU1" s="55" t="s">
        <v>2174</v>
      </c>
      <c r="AFV1" s="55" t="s">
        <v>2174</v>
      </c>
      <c r="AFW1" s="55" t="s">
        <v>2174</v>
      </c>
      <c r="AFX1" s="55" t="s">
        <v>2174</v>
      </c>
      <c r="AFY1" s="55" t="s">
        <v>2174</v>
      </c>
      <c r="AFZ1" s="55" t="s">
        <v>2174</v>
      </c>
      <c r="AGA1" s="55" t="s">
        <v>2174</v>
      </c>
      <c r="AGB1" s="55" t="s">
        <v>2174</v>
      </c>
      <c r="AGC1" s="55" t="s">
        <v>2174</v>
      </c>
      <c r="AGD1" s="55" t="s">
        <v>2174</v>
      </c>
      <c r="AGE1" s="55" t="s">
        <v>2174</v>
      </c>
      <c r="AGF1" s="55" t="s">
        <v>2174</v>
      </c>
      <c r="AGG1" s="55" t="s">
        <v>2174</v>
      </c>
      <c r="AGH1" s="55" t="s">
        <v>2174</v>
      </c>
      <c r="AGI1" s="55" t="s">
        <v>2174</v>
      </c>
      <c r="AGJ1" s="55" t="s">
        <v>2174</v>
      </c>
      <c r="AGK1" s="55" t="s">
        <v>2174</v>
      </c>
      <c r="AGL1" s="55" t="s">
        <v>2174</v>
      </c>
      <c r="AGM1" s="55" t="s">
        <v>2174</v>
      </c>
      <c r="AGN1" s="55" t="s">
        <v>2174</v>
      </c>
      <c r="AGO1" s="55" t="s">
        <v>2174</v>
      </c>
      <c r="AGP1" s="55" t="s">
        <v>2174</v>
      </c>
      <c r="AGQ1" s="55" t="s">
        <v>2174</v>
      </c>
      <c r="AGR1" s="55" t="s">
        <v>2174</v>
      </c>
      <c r="AGS1" s="55" t="s">
        <v>2174</v>
      </c>
      <c r="AGT1" s="55" t="s">
        <v>2174</v>
      </c>
      <c r="AGU1" s="55" t="s">
        <v>2174</v>
      </c>
      <c r="AGV1" s="55" t="s">
        <v>2174</v>
      </c>
      <c r="AGW1" s="55" t="s">
        <v>2174</v>
      </c>
      <c r="AGX1" s="55" t="s">
        <v>2174</v>
      </c>
      <c r="AGY1" s="55" t="s">
        <v>2174</v>
      </c>
      <c r="AGZ1" s="55" t="s">
        <v>2174</v>
      </c>
      <c r="AHA1" s="55" t="s">
        <v>2174</v>
      </c>
      <c r="AHB1" s="55" t="s">
        <v>2174</v>
      </c>
      <c r="AHC1" s="55" t="s">
        <v>2174</v>
      </c>
      <c r="AHD1" s="55" t="s">
        <v>2174</v>
      </c>
      <c r="AHE1" s="55" t="s">
        <v>2174</v>
      </c>
      <c r="AHF1" s="55" t="s">
        <v>2174</v>
      </c>
      <c r="AHG1" s="55" t="s">
        <v>2174</v>
      </c>
      <c r="AHH1" s="55" t="s">
        <v>2174</v>
      </c>
      <c r="AHI1" s="55" t="s">
        <v>2174</v>
      </c>
      <c r="AHJ1" s="55" t="s">
        <v>2174</v>
      </c>
      <c r="AHK1" s="55" t="s">
        <v>2174</v>
      </c>
      <c r="AHL1" s="55" t="s">
        <v>2174</v>
      </c>
      <c r="AHM1" s="55" t="s">
        <v>2174</v>
      </c>
      <c r="AHN1" s="55" t="s">
        <v>2174</v>
      </c>
      <c r="AHO1" s="55" t="s">
        <v>2174</v>
      </c>
      <c r="AHP1" s="55" t="s">
        <v>2174</v>
      </c>
      <c r="AHQ1" s="55" t="s">
        <v>2174</v>
      </c>
      <c r="AHR1" s="55" t="s">
        <v>2174</v>
      </c>
      <c r="AHS1" s="55" t="s">
        <v>2174</v>
      </c>
      <c r="AHT1" s="55" t="s">
        <v>2174</v>
      </c>
      <c r="AHU1" s="55" t="s">
        <v>2174</v>
      </c>
      <c r="AHV1" s="55" t="s">
        <v>2174</v>
      </c>
      <c r="AHW1" s="55" t="s">
        <v>2174</v>
      </c>
      <c r="AHX1" s="55" t="s">
        <v>2174</v>
      </c>
      <c r="AHY1" s="55" t="s">
        <v>2174</v>
      </c>
      <c r="AHZ1" s="55" t="s">
        <v>2174</v>
      </c>
      <c r="AIA1" s="55" t="s">
        <v>2174</v>
      </c>
      <c r="AIB1" s="55" t="s">
        <v>2174</v>
      </c>
      <c r="AIC1" s="55" t="s">
        <v>2174</v>
      </c>
      <c r="AID1" s="55" t="s">
        <v>2174</v>
      </c>
      <c r="AIE1" s="55" t="s">
        <v>2174</v>
      </c>
      <c r="AIF1" s="55" t="s">
        <v>2174</v>
      </c>
      <c r="AIG1" s="55" t="s">
        <v>2174</v>
      </c>
      <c r="AIH1" s="55" t="s">
        <v>2174</v>
      </c>
      <c r="AII1" s="55" t="s">
        <v>2174</v>
      </c>
      <c r="AIJ1" s="55" t="s">
        <v>2174</v>
      </c>
      <c r="AIK1" s="55" t="s">
        <v>2174</v>
      </c>
      <c r="AIL1" s="55" t="s">
        <v>2174</v>
      </c>
      <c r="AIM1" s="55" t="s">
        <v>2174</v>
      </c>
      <c r="AIN1" s="55" t="s">
        <v>2174</v>
      </c>
      <c r="AIO1" s="55" t="s">
        <v>2174</v>
      </c>
      <c r="AIP1" s="55" t="s">
        <v>2174</v>
      </c>
      <c r="AIQ1" s="55" t="s">
        <v>2174</v>
      </c>
      <c r="AIR1" s="55" t="s">
        <v>2174</v>
      </c>
      <c r="AIS1" s="55" t="s">
        <v>2174</v>
      </c>
      <c r="AIT1" s="55" t="s">
        <v>2174</v>
      </c>
      <c r="AIU1" s="55" t="s">
        <v>2174</v>
      </c>
      <c r="AIV1" s="55" t="s">
        <v>2174</v>
      </c>
      <c r="AIW1" s="55" t="s">
        <v>2174</v>
      </c>
      <c r="AIX1" s="55" t="s">
        <v>2174</v>
      </c>
      <c r="AIY1" s="55" t="s">
        <v>2174</v>
      </c>
      <c r="AIZ1" s="55" t="s">
        <v>2174</v>
      </c>
      <c r="AJA1" s="55" t="s">
        <v>2174</v>
      </c>
      <c r="AJB1" s="55" t="s">
        <v>2174</v>
      </c>
      <c r="AJC1" s="55" t="s">
        <v>2174</v>
      </c>
      <c r="AJD1" s="55" t="s">
        <v>2174</v>
      </c>
      <c r="AJE1" s="55" t="s">
        <v>2174</v>
      </c>
      <c r="AJF1" s="55" t="s">
        <v>2174</v>
      </c>
      <c r="AJG1" s="55" t="s">
        <v>2174</v>
      </c>
      <c r="AJH1" s="55" t="s">
        <v>2174</v>
      </c>
      <c r="AJI1" s="55" t="s">
        <v>2174</v>
      </c>
      <c r="AJJ1" s="55" t="s">
        <v>2174</v>
      </c>
      <c r="AJK1" s="55" t="s">
        <v>2174</v>
      </c>
      <c r="AJL1" s="55" t="s">
        <v>2174</v>
      </c>
      <c r="AJM1" s="55" t="s">
        <v>2174</v>
      </c>
      <c r="AJN1" s="55" t="s">
        <v>2174</v>
      </c>
      <c r="AJO1" s="55" t="s">
        <v>2174</v>
      </c>
      <c r="AJP1" s="55" t="s">
        <v>2174</v>
      </c>
      <c r="AJQ1" s="55" t="s">
        <v>2174</v>
      </c>
      <c r="AJR1" s="55" t="s">
        <v>2174</v>
      </c>
      <c r="AJS1" s="55" t="s">
        <v>2174</v>
      </c>
      <c r="AJT1" s="55" t="s">
        <v>2174</v>
      </c>
      <c r="AJU1" s="55" t="s">
        <v>2174</v>
      </c>
      <c r="AJV1" s="55" t="s">
        <v>2174</v>
      </c>
      <c r="AJW1" s="55" t="s">
        <v>2174</v>
      </c>
      <c r="AJX1" s="55" t="s">
        <v>2174</v>
      </c>
      <c r="AJY1" s="55" t="s">
        <v>2174</v>
      </c>
      <c r="AJZ1" s="55" t="s">
        <v>2174</v>
      </c>
      <c r="AKA1" s="55" t="s">
        <v>2174</v>
      </c>
      <c r="AKB1" s="55" t="s">
        <v>2174</v>
      </c>
      <c r="AKC1" s="55" t="s">
        <v>2174</v>
      </c>
      <c r="AKD1" s="55" t="s">
        <v>2174</v>
      </c>
      <c r="AKE1" s="55" t="s">
        <v>2174</v>
      </c>
      <c r="AKF1" s="55" t="s">
        <v>2174</v>
      </c>
      <c r="AKG1" s="55" t="s">
        <v>2174</v>
      </c>
      <c r="AKH1" s="55" t="s">
        <v>2174</v>
      </c>
      <c r="AKI1" s="55" t="s">
        <v>2174</v>
      </c>
      <c r="AKJ1" s="55" t="s">
        <v>2174</v>
      </c>
      <c r="AKK1" s="55" t="s">
        <v>2174</v>
      </c>
      <c r="AKL1" s="55" t="s">
        <v>2174</v>
      </c>
      <c r="AKM1" s="55" t="s">
        <v>2174</v>
      </c>
      <c r="AKN1" s="55" t="s">
        <v>2174</v>
      </c>
      <c r="AKO1" s="55" t="s">
        <v>2174</v>
      </c>
      <c r="AKP1" s="55" t="s">
        <v>2174</v>
      </c>
      <c r="AKQ1" s="55" t="s">
        <v>2174</v>
      </c>
      <c r="AKR1" s="55" t="s">
        <v>2174</v>
      </c>
      <c r="AKS1" s="55" t="s">
        <v>2174</v>
      </c>
      <c r="AKT1" s="55" t="s">
        <v>2174</v>
      </c>
      <c r="AKU1" s="55" t="s">
        <v>2174</v>
      </c>
      <c r="AKV1" s="55" t="s">
        <v>2174</v>
      </c>
      <c r="AKW1" s="55" t="s">
        <v>2174</v>
      </c>
      <c r="AKX1" s="55" t="s">
        <v>2174</v>
      </c>
      <c r="AKY1" s="55" t="s">
        <v>2174</v>
      </c>
      <c r="AKZ1" s="55" t="s">
        <v>2174</v>
      </c>
      <c r="ALA1" s="55" t="s">
        <v>2174</v>
      </c>
      <c r="ALB1" s="55" t="s">
        <v>2174</v>
      </c>
      <c r="ALC1" s="55" t="s">
        <v>2174</v>
      </c>
      <c r="ALD1" s="55" t="s">
        <v>2174</v>
      </c>
      <c r="ALE1" s="55" t="s">
        <v>2174</v>
      </c>
      <c r="ALF1" s="55" t="s">
        <v>2174</v>
      </c>
      <c r="ALG1" s="55" t="s">
        <v>2174</v>
      </c>
      <c r="ALH1" s="55" t="s">
        <v>2174</v>
      </c>
      <c r="ALI1" s="55" t="s">
        <v>2174</v>
      </c>
      <c r="ALJ1" s="55" t="s">
        <v>2174</v>
      </c>
      <c r="ALK1" s="55" t="s">
        <v>2174</v>
      </c>
      <c r="ALL1" s="55" t="s">
        <v>2174</v>
      </c>
      <c r="ALM1" s="55" t="s">
        <v>2174</v>
      </c>
      <c r="ALN1" s="55" t="s">
        <v>2174</v>
      </c>
      <c r="ALO1" s="55" t="s">
        <v>2174</v>
      </c>
      <c r="ALP1" s="55" t="s">
        <v>2174</v>
      </c>
      <c r="ALQ1" s="55" t="s">
        <v>2174</v>
      </c>
      <c r="ALR1" s="55" t="s">
        <v>2174</v>
      </c>
      <c r="ALS1" s="55" t="s">
        <v>2174</v>
      </c>
      <c r="ALT1" s="55" t="s">
        <v>2174</v>
      </c>
      <c r="ALU1" s="55" t="s">
        <v>2174</v>
      </c>
      <c r="ALV1" s="55" t="s">
        <v>2174</v>
      </c>
      <c r="ALW1" s="55" t="s">
        <v>2174</v>
      </c>
      <c r="ALX1" s="55" t="s">
        <v>2174</v>
      </c>
      <c r="ALY1" s="55" t="s">
        <v>2174</v>
      </c>
      <c r="ALZ1" s="55" t="s">
        <v>2174</v>
      </c>
      <c r="AMA1" s="55" t="s">
        <v>2174</v>
      </c>
      <c r="AMB1" s="55" t="s">
        <v>2174</v>
      </c>
      <c r="AMC1" s="55" t="s">
        <v>2174</v>
      </c>
      <c r="AMD1" s="55" t="s">
        <v>2174</v>
      </c>
      <c r="AME1" s="55" t="s">
        <v>2174</v>
      </c>
      <c r="AMF1" s="55" t="s">
        <v>2174</v>
      </c>
      <c r="AMG1" s="55" t="s">
        <v>2174</v>
      </c>
      <c r="AMH1" s="55" t="s">
        <v>2174</v>
      </c>
      <c r="AMI1" s="55" t="s">
        <v>2174</v>
      </c>
      <c r="AMJ1" s="55" t="s">
        <v>2174</v>
      </c>
      <c r="AMK1" s="55" t="s">
        <v>2174</v>
      </c>
      <c r="AML1" s="55" t="s">
        <v>2174</v>
      </c>
      <c r="AMM1" s="55" t="s">
        <v>2174</v>
      </c>
      <c r="AMN1" s="55" t="s">
        <v>2174</v>
      </c>
      <c r="AMO1" s="55" t="s">
        <v>2174</v>
      </c>
      <c r="AMP1" s="55" t="s">
        <v>2174</v>
      </c>
      <c r="AMQ1" s="55" t="s">
        <v>2174</v>
      </c>
      <c r="AMR1" s="55" t="s">
        <v>2174</v>
      </c>
      <c r="AMS1" s="55" t="s">
        <v>2174</v>
      </c>
      <c r="AMT1" s="55" t="s">
        <v>2174</v>
      </c>
      <c r="AMU1" s="55" t="s">
        <v>2174</v>
      </c>
      <c r="AMV1" s="55" t="s">
        <v>2174</v>
      </c>
      <c r="AMW1" s="55" t="s">
        <v>2174</v>
      </c>
      <c r="AMX1" s="55" t="s">
        <v>2174</v>
      </c>
      <c r="AMY1" s="55" t="s">
        <v>2174</v>
      </c>
      <c r="AMZ1" s="55" t="s">
        <v>2174</v>
      </c>
      <c r="ANA1" s="55" t="s">
        <v>2174</v>
      </c>
      <c r="ANB1" s="55" t="s">
        <v>2174</v>
      </c>
      <c r="ANC1" s="55" t="s">
        <v>2174</v>
      </c>
      <c r="AND1" s="55" t="s">
        <v>2174</v>
      </c>
      <c r="ANE1" s="55" t="s">
        <v>2174</v>
      </c>
      <c r="ANF1" s="55" t="s">
        <v>2174</v>
      </c>
      <c r="ANG1" s="55" t="s">
        <v>2174</v>
      </c>
      <c r="ANH1" s="55" t="s">
        <v>2174</v>
      </c>
      <c r="ANI1" s="55" t="s">
        <v>2174</v>
      </c>
      <c r="ANJ1" s="55" t="s">
        <v>2174</v>
      </c>
      <c r="ANK1" s="55" t="s">
        <v>2174</v>
      </c>
      <c r="ANL1" s="55" t="s">
        <v>2174</v>
      </c>
      <c r="ANM1" s="55" t="s">
        <v>2174</v>
      </c>
      <c r="ANN1" s="55" t="s">
        <v>2174</v>
      </c>
      <c r="ANO1" s="55" t="s">
        <v>2174</v>
      </c>
      <c r="ANP1" s="55" t="s">
        <v>2174</v>
      </c>
      <c r="ANQ1" s="55" t="s">
        <v>2174</v>
      </c>
      <c r="ANR1" s="55" t="s">
        <v>2174</v>
      </c>
      <c r="ANS1" s="55" t="s">
        <v>2174</v>
      </c>
      <c r="ANT1" s="55" t="s">
        <v>2174</v>
      </c>
      <c r="ANU1" s="55" t="s">
        <v>2174</v>
      </c>
      <c r="ANV1" s="55" t="s">
        <v>2174</v>
      </c>
      <c r="ANW1" s="55" t="s">
        <v>2174</v>
      </c>
      <c r="ANX1" s="55" t="s">
        <v>2174</v>
      </c>
      <c r="ANY1" s="55" t="s">
        <v>2174</v>
      </c>
      <c r="ANZ1" s="55" t="s">
        <v>2174</v>
      </c>
      <c r="AOA1" s="55" t="s">
        <v>2174</v>
      </c>
      <c r="AOB1" s="55" t="s">
        <v>2174</v>
      </c>
      <c r="AOC1" s="55" t="s">
        <v>2174</v>
      </c>
      <c r="AOD1" s="55" t="s">
        <v>2174</v>
      </c>
      <c r="AOE1" s="55" t="s">
        <v>2174</v>
      </c>
      <c r="AOF1" s="55" t="s">
        <v>2174</v>
      </c>
      <c r="AOG1" s="55" t="s">
        <v>2174</v>
      </c>
      <c r="AOH1" s="55" t="s">
        <v>2174</v>
      </c>
      <c r="AOI1" s="55" t="s">
        <v>2174</v>
      </c>
      <c r="AOJ1" s="55" t="s">
        <v>2174</v>
      </c>
      <c r="AOK1" s="55" t="s">
        <v>2174</v>
      </c>
      <c r="AOL1" s="55" t="s">
        <v>2174</v>
      </c>
      <c r="AOM1" s="55" t="s">
        <v>2174</v>
      </c>
      <c r="AON1" s="55" t="s">
        <v>2174</v>
      </c>
      <c r="AOO1" s="55" t="s">
        <v>2174</v>
      </c>
      <c r="AOP1" s="55" t="s">
        <v>2174</v>
      </c>
      <c r="AOQ1" s="55" t="s">
        <v>2174</v>
      </c>
      <c r="AOR1" s="55" t="s">
        <v>2174</v>
      </c>
      <c r="AOS1" s="55" t="s">
        <v>2174</v>
      </c>
      <c r="AOT1" s="55" t="s">
        <v>2174</v>
      </c>
      <c r="AOU1" s="55" t="s">
        <v>2174</v>
      </c>
      <c r="AOV1" s="55" t="s">
        <v>2174</v>
      </c>
      <c r="AOW1" s="55" t="s">
        <v>2174</v>
      </c>
      <c r="AOX1" s="55" t="s">
        <v>2174</v>
      </c>
      <c r="AOY1" s="55" t="s">
        <v>2174</v>
      </c>
      <c r="AOZ1" s="55" t="s">
        <v>2174</v>
      </c>
      <c r="APA1" s="55" t="s">
        <v>2174</v>
      </c>
      <c r="APB1" s="55" t="s">
        <v>2174</v>
      </c>
      <c r="APC1" s="55" t="s">
        <v>2174</v>
      </c>
      <c r="APD1" s="55" t="s">
        <v>2174</v>
      </c>
      <c r="APE1" s="55" t="s">
        <v>2174</v>
      </c>
      <c r="APF1" s="55" t="s">
        <v>2174</v>
      </c>
      <c r="APG1" s="55" t="s">
        <v>2174</v>
      </c>
      <c r="APH1" s="55" t="s">
        <v>2174</v>
      </c>
      <c r="API1" s="55" t="s">
        <v>2174</v>
      </c>
      <c r="APJ1" s="55" t="s">
        <v>2174</v>
      </c>
      <c r="APK1" s="55" t="s">
        <v>2174</v>
      </c>
      <c r="APL1" s="55" t="s">
        <v>2174</v>
      </c>
      <c r="APM1" s="55" t="s">
        <v>2174</v>
      </c>
      <c r="APN1" s="55" t="s">
        <v>2174</v>
      </c>
      <c r="APO1" s="55" t="s">
        <v>2174</v>
      </c>
      <c r="APP1" s="55" t="s">
        <v>2174</v>
      </c>
      <c r="APQ1" s="55" t="s">
        <v>2174</v>
      </c>
      <c r="APR1" s="55" t="s">
        <v>2174</v>
      </c>
      <c r="APS1" s="55" t="s">
        <v>2174</v>
      </c>
      <c r="APT1" s="55" t="s">
        <v>2174</v>
      </c>
      <c r="APU1" s="55" t="s">
        <v>2174</v>
      </c>
      <c r="APV1" s="55" t="s">
        <v>2174</v>
      </c>
      <c r="APW1" s="55" t="s">
        <v>2174</v>
      </c>
      <c r="APX1" s="55" t="s">
        <v>2174</v>
      </c>
      <c r="APY1" s="55" t="s">
        <v>2174</v>
      </c>
      <c r="APZ1" s="55" t="s">
        <v>2174</v>
      </c>
      <c r="AQA1" s="55" t="s">
        <v>2174</v>
      </c>
      <c r="AQB1" s="55" t="s">
        <v>2174</v>
      </c>
      <c r="AQC1" s="55" t="s">
        <v>2174</v>
      </c>
      <c r="AQD1" s="55" t="s">
        <v>2174</v>
      </c>
      <c r="AQE1" s="55" t="s">
        <v>2174</v>
      </c>
      <c r="AQF1" s="55" t="s">
        <v>2174</v>
      </c>
      <c r="AQG1" s="55" t="s">
        <v>2174</v>
      </c>
      <c r="AQH1" s="55" t="s">
        <v>2174</v>
      </c>
      <c r="AQI1" s="55" t="s">
        <v>2174</v>
      </c>
      <c r="AQJ1" s="55" t="s">
        <v>2174</v>
      </c>
      <c r="AQK1" s="55" t="s">
        <v>2174</v>
      </c>
      <c r="AQL1" s="55" t="s">
        <v>2174</v>
      </c>
      <c r="AQM1" s="55" t="s">
        <v>2174</v>
      </c>
      <c r="AQN1" s="55" t="s">
        <v>2174</v>
      </c>
      <c r="AQO1" s="55" t="s">
        <v>2174</v>
      </c>
      <c r="AQP1" s="55" t="s">
        <v>2174</v>
      </c>
      <c r="AQQ1" s="55" t="s">
        <v>2174</v>
      </c>
      <c r="AQR1" s="55" t="s">
        <v>2174</v>
      </c>
      <c r="AQS1" s="55" t="s">
        <v>2174</v>
      </c>
      <c r="AQT1" s="55" t="s">
        <v>2174</v>
      </c>
      <c r="AQU1" s="55" t="s">
        <v>2174</v>
      </c>
      <c r="AQV1" s="55" t="s">
        <v>2174</v>
      </c>
      <c r="AQW1" s="55" t="s">
        <v>2174</v>
      </c>
      <c r="AQX1" s="55" t="s">
        <v>2174</v>
      </c>
      <c r="AQY1" s="55" t="s">
        <v>2174</v>
      </c>
      <c r="AQZ1" s="55" t="s">
        <v>2174</v>
      </c>
      <c r="ARA1" s="55" t="s">
        <v>2174</v>
      </c>
      <c r="ARB1" s="55" t="s">
        <v>2174</v>
      </c>
      <c r="ARC1" s="55" t="s">
        <v>2174</v>
      </c>
      <c r="ARD1" s="55" t="s">
        <v>2174</v>
      </c>
      <c r="ARE1" s="55" t="s">
        <v>2174</v>
      </c>
      <c r="ARF1" s="55" t="s">
        <v>2174</v>
      </c>
      <c r="ARG1" s="55" t="s">
        <v>2174</v>
      </c>
      <c r="ARH1" s="55" t="s">
        <v>2174</v>
      </c>
      <c r="ARI1" s="55" t="s">
        <v>2174</v>
      </c>
      <c r="ARJ1" s="55" t="s">
        <v>2174</v>
      </c>
      <c r="ARK1" s="55" t="s">
        <v>2174</v>
      </c>
      <c r="ARL1" s="55" t="s">
        <v>2174</v>
      </c>
      <c r="ARM1" s="55" t="s">
        <v>2174</v>
      </c>
      <c r="ARN1" s="55" t="s">
        <v>2174</v>
      </c>
      <c r="ARO1" s="55" t="s">
        <v>2174</v>
      </c>
      <c r="ARP1" s="55" t="s">
        <v>2174</v>
      </c>
      <c r="ARQ1" s="55" t="s">
        <v>2174</v>
      </c>
      <c r="ARR1" s="55" t="s">
        <v>2174</v>
      </c>
      <c r="ARS1" s="55" t="s">
        <v>2174</v>
      </c>
      <c r="ART1" s="55" t="s">
        <v>2174</v>
      </c>
      <c r="ARU1" s="55" t="s">
        <v>2174</v>
      </c>
      <c r="ARV1" s="55" t="s">
        <v>2174</v>
      </c>
      <c r="ARW1" s="55" t="s">
        <v>2174</v>
      </c>
      <c r="ARX1" s="55" t="s">
        <v>2174</v>
      </c>
      <c r="ARY1" s="55" t="s">
        <v>2174</v>
      </c>
      <c r="ARZ1" s="55" t="s">
        <v>2174</v>
      </c>
      <c r="ASA1" s="55" t="s">
        <v>2174</v>
      </c>
      <c r="ASB1" s="55" t="s">
        <v>2174</v>
      </c>
      <c r="ASC1" s="55" t="s">
        <v>2174</v>
      </c>
      <c r="ASD1" s="55" t="s">
        <v>2174</v>
      </c>
      <c r="ASE1" s="55" t="s">
        <v>2174</v>
      </c>
      <c r="ASF1" s="55" t="s">
        <v>2174</v>
      </c>
      <c r="ASG1" s="55" t="s">
        <v>2174</v>
      </c>
      <c r="ASH1" s="55" t="s">
        <v>2174</v>
      </c>
      <c r="ASI1" s="55" t="s">
        <v>2174</v>
      </c>
      <c r="ASJ1" s="55" t="s">
        <v>2174</v>
      </c>
      <c r="ASK1" s="55" t="s">
        <v>2174</v>
      </c>
      <c r="ASL1" s="55" t="s">
        <v>2174</v>
      </c>
      <c r="ASM1" s="55" t="s">
        <v>2174</v>
      </c>
      <c r="ASN1" s="55" t="s">
        <v>2174</v>
      </c>
      <c r="ASO1" s="55" t="s">
        <v>2174</v>
      </c>
      <c r="ASP1" s="55" t="s">
        <v>2174</v>
      </c>
      <c r="ASQ1" s="55" t="s">
        <v>2174</v>
      </c>
      <c r="ASR1" s="55" t="s">
        <v>2174</v>
      </c>
      <c r="ASS1" s="55" t="s">
        <v>2174</v>
      </c>
      <c r="AST1" s="55" t="s">
        <v>2174</v>
      </c>
      <c r="ASU1" s="55" t="s">
        <v>2174</v>
      </c>
      <c r="ASV1" s="55" t="s">
        <v>2174</v>
      </c>
      <c r="ASW1" s="55" t="s">
        <v>2174</v>
      </c>
      <c r="ASX1" s="55" t="s">
        <v>2174</v>
      </c>
      <c r="ASY1" s="55" t="s">
        <v>2174</v>
      </c>
      <c r="ASZ1" s="55" t="s">
        <v>2174</v>
      </c>
      <c r="ATA1" s="55" t="s">
        <v>2174</v>
      </c>
      <c r="ATB1" s="55" t="s">
        <v>2174</v>
      </c>
      <c r="ATC1" s="55" t="s">
        <v>2174</v>
      </c>
      <c r="ATD1" s="55" t="s">
        <v>2174</v>
      </c>
      <c r="ATE1" s="55" t="s">
        <v>2174</v>
      </c>
      <c r="ATF1" s="55" t="s">
        <v>2174</v>
      </c>
      <c r="ATG1" s="55" t="s">
        <v>2174</v>
      </c>
      <c r="ATH1" s="55" t="s">
        <v>2174</v>
      </c>
      <c r="ATI1" s="55" t="s">
        <v>2174</v>
      </c>
      <c r="ATJ1" s="55" t="s">
        <v>2174</v>
      </c>
      <c r="ATK1" s="55" t="s">
        <v>2174</v>
      </c>
      <c r="ATL1" s="55" t="s">
        <v>2174</v>
      </c>
      <c r="ATM1" s="55" t="s">
        <v>2174</v>
      </c>
      <c r="ATN1" s="55" t="s">
        <v>2174</v>
      </c>
      <c r="ATO1" s="55" t="s">
        <v>2174</v>
      </c>
      <c r="ATP1" s="55" t="s">
        <v>2174</v>
      </c>
      <c r="ATQ1" s="55" t="s">
        <v>2174</v>
      </c>
      <c r="ATR1" s="55" t="s">
        <v>2174</v>
      </c>
      <c r="ATS1" s="55" t="s">
        <v>2174</v>
      </c>
      <c r="ATT1" s="55" t="s">
        <v>2174</v>
      </c>
      <c r="ATU1" s="55" t="s">
        <v>2174</v>
      </c>
      <c r="ATV1" s="55" t="s">
        <v>2174</v>
      </c>
      <c r="ATW1" s="55" t="s">
        <v>2174</v>
      </c>
      <c r="ATX1" s="55" t="s">
        <v>2174</v>
      </c>
      <c r="ATY1" s="55" t="s">
        <v>2174</v>
      </c>
      <c r="ATZ1" s="55" t="s">
        <v>2174</v>
      </c>
      <c r="AUA1" s="55" t="s">
        <v>2174</v>
      </c>
      <c r="AUB1" s="55" t="s">
        <v>2174</v>
      </c>
      <c r="AUC1" s="55" t="s">
        <v>2174</v>
      </c>
      <c r="AUD1" s="55" t="s">
        <v>2174</v>
      </c>
      <c r="AUE1" s="55" t="s">
        <v>2174</v>
      </c>
      <c r="AUF1" s="55" t="s">
        <v>2174</v>
      </c>
      <c r="AUG1" s="55" t="s">
        <v>2174</v>
      </c>
      <c r="AUH1" s="55" t="s">
        <v>2174</v>
      </c>
      <c r="AUI1" s="55" t="s">
        <v>2174</v>
      </c>
      <c r="AUJ1" s="55" t="s">
        <v>2174</v>
      </c>
      <c r="AUK1" s="55" t="s">
        <v>2174</v>
      </c>
      <c r="AUL1" s="55" t="s">
        <v>2174</v>
      </c>
      <c r="AUM1" s="55" t="s">
        <v>2174</v>
      </c>
      <c r="AUN1" s="55" t="s">
        <v>2174</v>
      </c>
      <c r="AUO1" s="55" t="s">
        <v>2174</v>
      </c>
      <c r="AUP1" s="55" t="s">
        <v>2174</v>
      </c>
      <c r="AUQ1" s="55" t="s">
        <v>2174</v>
      </c>
      <c r="AUR1" s="55" t="s">
        <v>2174</v>
      </c>
      <c r="AUS1" s="55" t="s">
        <v>2174</v>
      </c>
      <c r="AUT1" s="55" t="s">
        <v>2174</v>
      </c>
      <c r="AUU1" s="55" t="s">
        <v>2174</v>
      </c>
      <c r="AUV1" s="55" t="s">
        <v>2174</v>
      </c>
      <c r="AUW1" s="55" t="s">
        <v>2174</v>
      </c>
      <c r="AUX1" s="55" t="s">
        <v>2174</v>
      </c>
      <c r="AUY1" s="55" t="s">
        <v>2174</v>
      </c>
      <c r="AUZ1" s="55" t="s">
        <v>2174</v>
      </c>
      <c r="AVA1" s="55" t="s">
        <v>2174</v>
      </c>
      <c r="AVB1" s="55" t="s">
        <v>2174</v>
      </c>
      <c r="AVC1" s="55" t="s">
        <v>2174</v>
      </c>
      <c r="AVD1" s="55" t="s">
        <v>2174</v>
      </c>
      <c r="AVE1" s="55" t="s">
        <v>2174</v>
      </c>
      <c r="AVF1" s="55" t="s">
        <v>2174</v>
      </c>
      <c r="AVG1" s="55" t="s">
        <v>2174</v>
      </c>
      <c r="AVH1" s="55" t="s">
        <v>2174</v>
      </c>
      <c r="AVI1" s="55" t="s">
        <v>2174</v>
      </c>
      <c r="AVJ1" s="55" t="s">
        <v>2174</v>
      </c>
      <c r="AVK1" s="55" t="s">
        <v>2174</v>
      </c>
      <c r="AVL1" s="55" t="s">
        <v>2174</v>
      </c>
      <c r="AVM1" s="55" t="s">
        <v>2174</v>
      </c>
      <c r="AVN1" s="55" t="s">
        <v>2174</v>
      </c>
      <c r="AVO1" s="55" t="s">
        <v>2174</v>
      </c>
      <c r="AVP1" s="55" t="s">
        <v>2174</v>
      </c>
      <c r="AVQ1" s="55" t="s">
        <v>2174</v>
      </c>
      <c r="AVR1" s="55" t="s">
        <v>2174</v>
      </c>
      <c r="AVS1" s="55" t="s">
        <v>2174</v>
      </c>
      <c r="AVT1" s="55" t="s">
        <v>2174</v>
      </c>
      <c r="AVU1" s="55" t="s">
        <v>2174</v>
      </c>
      <c r="AVV1" s="55" t="s">
        <v>2174</v>
      </c>
      <c r="AVW1" s="55" t="s">
        <v>2174</v>
      </c>
      <c r="AVX1" s="55" t="s">
        <v>2174</v>
      </c>
      <c r="AVY1" s="55" t="s">
        <v>2174</v>
      </c>
      <c r="AVZ1" s="55" t="s">
        <v>2174</v>
      </c>
      <c r="AWA1" s="55" t="s">
        <v>2174</v>
      </c>
      <c r="AWB1" s="55" t="s">
        <v>2174</v>
      </c>
      <c r="AWC1" s="55" t="s">
        <v>2174</v>
      </c>
      <c r="AWD1" s="55" t="s">
        <v>2174</v>
      </c>
      <c r="AWE1" s="55" t="s">
        <v>2174</v>
      </c>
      <c r="AWF1" s="55" t="s">
        <v>2174</v>
      </c>
      <c r="AWG1" s="55" t="s">
        <v>2174</v>
      </c>
      <c r="AWH1" s="55" t="s">
        <v>2174</v>
      </c>
      <c r="AWI1" s="55" t="s">
        <v>2174</v>
      </c>
      <c r="AWJ1" s="55" t="s">
        <v>2174</v>
      </c>
      <c r="AWK1" s="55" t="s">
        <v>2174</v>
      </c>
      <c r="AWL1" s="55" t="s">
        <v>2174</v>
      </c>
      <c r="AWM1" s="55" t="s">
        <v>2174</v>
      </c>
      <c r="AWN1" s="55" t="s">
        <v>2174</v>
      </c>
      <c r="AWO1" s="55" t="s">
        <v>2174</v>
      </c>
      <c r="AWP1" s="55" t="s">
        <v>2174</v>
      </c>
      <c r="AWQ1" s="55" t="s">
        <v>2174</v>
      </c>
      <c r="AWR1" s="55" t="s">
        <v>2174</v>
      </c>
      <c r="AWS1" s="55" t="s">
        <v>2174</v>
      </c>
      <c r="AWT1" s="55" t="s">
        <v>2174</v>
      </c>
      <c r="AWU1" s="55" t="s">
        <v>2174</v>
      </c>
      <c r="AWV1" s="55" t="s">
        <v>2174</v>
      </c>
      <c r="AWW1" s="55" t="s">
        <v>2174</v>
      </c>
      <c r="AWX1" s="55" t="s">
        <v>2174</v>
      </c>
      <c r="AWY1" s="55" t="s">
        <v>2174</v>
      </c>
      <c r="AWZ1" s="55" t="s">
        <v>2174</v>
      </c>
      <c r="AXA1" s="55" t="s">
        <v>2174</v>
      </c>
      <c r="AXB1" s="55" t="s">
        <v>2174</v>
      </c>
      <c r="AXC1" s="55" t="s">
        <v>2174</v>
      </c>
      <c r="AXD1" s="55" t="s">
        <v>2174</v>
      </c>
      <c r="AXE1" s="55" t="s">
        <v>2174</v>
      </c>
      <c r="AXF1" s="55" t="s">
        <v>2174</v>
      </c>
      <c r="AXG1" s="55" t="s">
        <v>2174</v>
      </c>
      <c r="AXH1" s="55" t="s">
        <v>2174</v>
      </c>
      <c r="AXI1" s="55" t="s">
        <v>2174</v>
      </c>
      <c r="AXJ1" s="55" t="s">
        <v>2174</v>
      </c>
      <c r="AXK1" s="55" t="s">
        <v>2174</v>
      </c>
      <c r="AXL1" s="55" t="s">
        <v>2174</v>
      </c>
      <c r="AXM1" s="55" t="s">
        <v>2174</v>
      </c>
      <c r="AXN1" s="55" t="s">
        <v>2174</v>
      </c>
      <c r="AXO1" s="55" t="s">
        <v>2174</v>
      </c>
      <c r="AXP1" s="55" t="s">
        <v>2174</v>
      </c>
      <c r="AXQ1" s="55" t="s">
        <v>2174</v>
      </c>
      <c r="AXR1" s="55" t="s">
        <v>2174</v>
      </c>
      <c r="AXS1" s="55" t="s">
        <v>2174</v>
      </c>
      <c r="AXT1" s="55" t="s">
        <v>2174</v>
      </c>
      <c r="AXU1" s="55" t="s">
        <v>2174</v>
      </c>
      <c r="AXV1" s="55" t="s">
        <v>2174</v>
      </c>
      <c r="AXW1" s="55" t="s">
        <v>2174</v>
      </c>
      <c r="AXX1" s="55" t="s">
        <v>2174</v>
      </c>
      <c r="AXY1" s="55" t="s">
        <v>2174</v>
      </c>
      <c r="AXZ1" s="55" t="s">
        <v>2174</v>
      </c>
      <c r="AYA1" s="55" t="s">
        <v>2174</v>
      </c>
      <c r="AYB1" s="55" t="s">
        <v>2174</v>
      </c>
      <c r="AYC1" s="55" t="s">
        <v>2174</v>
      </c>
      <c r="AYD1" s="55" t="s">
        <v>2174</v>
      </c>
      <c r="AYE1" s="55" t="s">
        <v>2174</v>
      </c>
      <c r="AYF1" s="55" t="s">
        <v>2174</v>
      </c>
      <c r="AYG1" s="55" t="s">
        <v>2174</v>
      </c>
      <c r="AYH1" s="55" t="s">
        <v>2174</v>
      </c>
      <c r="AYI1" s="55" t="s">
        <v>2174</v>
      </c>
      <c r="AYJ1" s="55" t="s">
        <v>2174</v>
      </c>
      <c r="AYK1" s="55" t="s">
        <v>2174</v>
      </c>
      <c r="AYL1" s="55" t="s">
        <v>2174</v>
      </c>
      <c r="AYM1" s="55" t="s">
        <v>2174</v>
      </c>
      <c r="AYN1" s="55" t="s">
        <v>2174</v>
      </c>
      <c r="AYO1" s="55" t="s">
        <v>2174</v>
      </c>
      <c r="AYP1" s="55" t="s">
        <v>2174</v>
      </c>
      <c r="AYQ1" s="55" t="s">
        <v>2174</v>
      </c>
      <c r="AYR1" s="55" t="s">
        <v>2174</v>
      </c>
      <c r="AYS1" s="55" t="s">
        <v>2174</v>
      </c>
      <c r="AYT1" s="55" t="s">
        <v>2174</v>
      </c>
      <c r="AYU1" s="55" t="s">
        <v>2174</v>
      </c>
      <c r="AYV1" s="55" t="s">
        <v>2174</v>
      </c>
      <c r="AYW1" s="55" t="s">
        <v>2174</v>
      </c>
      <c r="AYX1" s="55" t="s">
        <v>2174</v>
      </c>
      <c r="AYY1" s="55" t="s">
        <v>2174</v>
      </c>
      <c r="AYZ1" s="55" t="s">
        <v>2174</v>
      </c>
      <c r="AZA1" s="55" t="s">
        <v>2174</v>
      </c>
      <c r="AZB1" s="55" t="s">
        <v>2174</v>
      </c>
      <c r="AZC1" s="55" t="s">
        <v>2174</v>
      </c>
      <c r="AZD1" s="55" t="s">
        <v>2174</v>
      </c>
      <c r="AZE1" s="55" t="s">
        <v>2174</v>
      </c>
      <c r="AZF1" s="55" t="s">
        <v>2174</v>
      </c>
      <c r="AZG1" s="55" t="s">
        <v>2174</v>
      </c>
      <c r="AZH1" s="55" t="s">
        <v>2174</v>
      </c>
      <c r="AZI1" s="55" t="s">
        <v>2174</v>
      </c>
      <c r="AZJ1" s="55" t="s">
        <v>2174</v>
      </c>
      <c r="AZK1" s="55" t="s">
        <v>2174</v>
      </c>
      <c r="AZL1" s="55" t="s">
        <v>2174</v>
      </c>
      <c r="AZM1" s="55" t="s">
        <v>2174</v>
      </c>
      <c r="AZN1" s="55" t="s">
        <v>2174</v>
      </c>
      <c r="AZO1" s="55" t="s">
        <v>2174</v>
      </c>
      <c r="AZP1" s="55" t="s">
        <v>2174</v>
      </c>
      <c r="AZQ1" s="55" t="s">
        <v>2174</v>
      </c>
      <c r="AZR1" s="55" t="s">
        <v>2174</v>
      </c>
      <c r="AZS1" s="55" t="s">
        <v>2174</v>
      </c>
      <c r="AZT1" s="55" t="s">
        <v>2174</v>
      </c>
      <c r="AZU1" s="55" t="s">
        <v>2174</v>
      </c>
      <c r="AZV1" s="55" t="s">
        <v>2174</v>
      </c>
      <c r="AZW1" s="55" t="s">
        <v>2174</v>
      </c>
      <c r="AZX1" s="55" t="s">
        <v>2174</v>
      </c>
      <c r="AZY1" s="55" t="s">
        <v>2174</v>
      </c>
      <c r="AZZ1" s="55" t="s">
        <v>2174</v>
      </c>
      <c r="BAA1" s="55" t="s">
        <v>2174</v>
      </c>
      <c r="BAB1" s="55" t="s">
        <v>2174</v>
      </c>
      <c r="BAC1" s="55" t="s">
        <v>2174</v>
      </c>
      <c r="BAD1" s="55" t="s">
        <v>2174</v>
      </c>
      <c r="BAE1" s="55" t="s">
        <v>2174</v>
      </c>
      <c r="BAF1" s="55" t="s">
        <v>2174</v>
      </c>
      <c r="BAG1" s="55" t="s">
        <v>2174</v>
      </c>
      <c r="BAH1" s="55" t="s">
        <v>2174</v>
      </c>
      <c r="BAI1" s="55" t="s">
        <v>2174</v>
      </c>
      <c r="BAJ1" s="55" t="s">
        <v>2174</v>
      </c>
      <c r="BAK1" s="55" t="s">
        <v>2174</v>
      </c>
      <c r="BAL1" s="55" t="s">
        <v>2174</v>
      </c>
      <c r="BAM1" s="55" t="s">
        <v>2174</v>
      </c>
      <c r="BAN1" s="55" t="s">
        <v>2174</v>
      </c>
      <c r="BAO1" s="55" t="s">
        <v>2174</v>
      </c>
      <c r="BAP1" s="55" t="s">
        <v>2174</v>
      </c>
      <c r="BAQ1" s="55" t="s">
        <v>2174</v>
      </c>
      <c r="BAR1" s="55" t="s">
        <v>2174</v>
      </c>
      <c r="BAS1" s="55" t="s">
        <v>2174</v>
      </c>
      <c r="BAT1" s="55" t="s">
        <v>2174</v>
      </c>
      <c r="BAU1" s="55" t="s">
        <v>2174</v>
      </c>
      <c r="BAV1" s="55" t="s">
        <v>2174</v>
      </c>
      <c r="BAW1" s="55" t="s">
        <v>2174</v>
      </c>
      <c r="BAX1" s="55" t="s">
        <v>2174</v>
      </c>
      <c r="BAY1" s="55" t="s">
        <v>2174</v>
      </c>
      <c r="BAZ1" s="55" t="s">
        <v>2174</v>
      </c>
      <c r="BBA1" s="55" t="s">
        <v>2174</v>
      </c>
      <c r="BBB1" s="55" t="s">
        <v>2174</v>
      </c>
      <c r="BBC1" s="55" t="s">
        <v>2174</v>
      </c>
      <c r="BBD1" s="55" t="s">
        <v>2174</v>
      </c>
      <c r="BBE1" s="55" t="s">
        <v>2174</v>
      </c>
      <c r="BBF1" s="55" t="s">
        <v>2174</v>
      </c>
      <c r="BBG1" s="55" t="s">
        <v>2174</v>
      </c>
      <c r="BBH1" s="55" t="s">
        <v>2174</v>
      </c>
      <c r="BBI1" s="55" t="s">
        <v>2174</v>
      </c>
      <c r="BBJ1" s="55" t="s">
        <v>2174</v>
      </c>
      <c r="BBK1" s="55" t="s">
        <v>2174</v>
      </c>
      <c r="BBL1" s="55" t="s">
        <v>2174</v>
      </c>
      <c r="BBM1" s="55" t="s">
        <v>2174</v>
      </c>
      <c r="BBN1" s="55" t="s">
        <v>2174</v>
      </c>
      <c r="BBO1" s="55" t="s">
        <v>2174</v>
      </c>
      <c r="BBP1" s="55" t="s">
        <v>2174</v>
      </c>
      <c r="BBQ1" s="55" t="s">
        <v>2174</v>
      </c>
      <c r="BBR1" s="55" t="s">
        <v>2174</v>
      </c>
      <c r="BBS1" s="55" t="s">
        <v>2174</v>
      </c>
      <c r="BBT1" s="55" t="s">
        <v>2174</v>
      </c>
      <c r="BBU1" s="55" t="s">
        <v>2174</v>
      </c>
      <c r="BBV1" s="55" t="s">
        <v>2174</v>
      </c>
      <c r="BBW1" s="55" t="s">
        <v>2174</v>
      </c>
      <c r="BBX1" s="55" t="s">
        <v>2174</v>
      </c>
      <c r="BBY1" s="55" t="s">
        <v>2174</v>
      </c>
      <c r="BBZ1" s="55" t="s">
        <v>2174</v>
      </c>
      <c r="BCA1" s="55" t="s">
        <v>2174</v>
      </c>
      <c r="BCB1" s="55" t="s">
        <v>2174</v>
      </c>
      <c r="BCC1" s="55" t="s">
        <v>2174</v>
      </c>
      <c r="BCD1" s="55" t="s">
        <v>2174</v>
      </c>
      <c r="BCE1" s="55" t="s">
        <v>2174</v>
      </c>
      <c r="BCF1" s="55" t="s">
        <v>2174</v>
      </c>
      <c r="BCG1" s="55" t="s">
        <v>2174</v>
      </c>
      <c r="BCH1" s="55" t="s">
        <v>2174</v>
      </c>
      <c r="BCI1" s="55" t="s">
        <v>2174</v>
      </c>
      <c r="BCJ1" s="55" t="s">
        <v>2174</v>
      </c>
      <c r="BCK1" s="55" t="s">
        <v>2174</v>
      </c>
      <c r="BCL1" s="55" t="s">
        <v>2174</v>
      </c>
      <c r="BCM1" s="55" t="s">
        <v>2174</v>
      </c>
      <c r="BCN1" s="55" t="s">
        <v>2174</v>
      </c>
      <c r="BCO1" s="55" t="s">
        <v>2174</v>
      </c>
      <c r="BCP1" s="55" t="s">
        <v>2174</v>
      </c>
      <c r="BCQ1" s="55" t="s">
        <v>2174</v>
      </c>
      <c r="BCR1" s="55" t="s">
        <v>2174</v>
      </c>
      <c r="BCS1" s="55" t="s">
        <v>2174</v>
      </c>
      <c r="BCT1" s="55" t="s">
        <v>2174</v>
      </c>
      <c r="BCU1" s="55" t="s">
        <v>2174</v>
      </c>
      <c r="BCV1" s="55" t="s">
        <v>2174</v>
      </c>
      <c r="BCW1" s="55" t="s">
        <v>2174</v>
      </c>
      <c r="BCX1" s="55" t="s">
        <v>2174</v>
      </c>
      <c r="BCY1" s="55" t="s">
        <v>2174</v>
      </c>
      <c r="BCZ1" s="55" t="s">
        <v>2174</v>
      </c>
      <c r="BDA1" s="55" t="s">
        <v>2174</v>
      </c>
      <c r="BDB1" s="55" t="s">
        <v>2174</v>
      </c>
      <c r="BDC1" s="55" t="s">
        <v>2174</v>
      </c>
      <c r="BDD1" s="55" t="s">
        <v>2174</v>
      </c>
      <c r="BDE1" s="55" t="s">
        <v>2174</v>
      </c>
      <c r="BDF1" s="55" t="s">
        <v>2174</v>
      </c>
      <c r="BDG1" s="55" t="s">
        <v>2174</v>
      </c>
      <c r="BDH1" s="55" t="s">
        <v>2174</v>
      </c>
      <c r="BDI1" s="55" t="s">
        <v>2174</v>
      </c>
      <c r="BDJ1" s="55" t="s">
        <v>2174</v>
      </c>
      <c r="BDK1" s="55" t="s">
        <v>2174</v>
      </c>
      <c r="BDL1" s="55" t="s">
        <v>2174</v>
      </c>
      <c r="BDM1" s="55" t="s">
        <v>2174</v>
      </c>
      <c r="BDN1" s="55" t="s">
        <v>2174</v>
      </c>
      <c r="BDO1" s="55" t="s">
        <v>2174</v>
      </c>
      <c r="BDP1" s="55" t="s">
        <v>2174</v>
      </c>
      <c r="BDQ1" s="55" t="s">
        <v>2174</v>
      </c>
      <c r="BDR1" s="55" t="s">
        <v>2174</v>
      </c>
      <c r="BDS1" s="55" t="s">
        <v>2174</v>
      </c>
      <c r="BDT1" s="55" t="s">
        <v>2174</v>
      </c>
      <c r="BDU1" s="55" t="s">
        <v>2174</v>
      </c>
      <c r="BDV1" s="55" t="s">
        <v>2174</v>
      </c>
      <c r="BDW1" s="55" t="s">
        <v>2174</v>
      </c>
      <c r="BDX1" s="55" t="s">
        <v>2174</v>
      </c>
      <c r="BDY1" s="55" t="s">
        <v>2174</v>
      </c>
      <c r="BDZ1" s="55" t="s">
        <v>2174</v>
      </c>
      <c r="BEA1" s="55" t="s">
        <v>2174</v>
      </c>
      <c r="BEB1" s="55" t="s">
        <v>2174</v>
      </c>
      <c r="BEC1" s="55" t="s">
        <v>2174</v>
      </c>
      <c r="BED1" s="55" t="s">
        <v>2174</v>
      </c>
      <c r="BEE1" s="55" t="s">
        <v>2174</v>
      </c>
      <c r="BEF1" s="55" t="s">
        <v>2174</v>
      </c>
      <c r="BEG1" s="55" t="s">
        <v>2174</v>
      </c>
      <c r="BEH1" s="55" t="s">
        <v>2174</v>
      </c>
      <c r="BEI1" s="55" t="s">
        <v>2174</v>
      </c>
      <c r="BEJ1" s="55" t="s">
        <v>2174</v>
      </c>
      <c r="BEK1" s="55" t="s">
        <v>2174</v>
      </c>
      <c r="BEL1" s="55" t="s">
        <v>2174</v>
      </c>
      <c r="BEM1" s="55" t="s">
        <v>2174</v>
      </c>
      <c r="BEN1" s="55" t="s">
        <v>2174</v>
      </c>
      <c r="BEO1" s="55" t="s">
        <v>2174</v>
      </c>
      <c r="BEP1" s="55" t="s">
        <v>2174</v>
      </c>
      <c r="BEQ1" s="55" t="s">
        <v>2174</v>
      </c>
      <c r="BER1" s="55" t="s">
        <v>2174</v>
      </c>
      <c r="BES1" s="55" t="s">
        <v>2174</v>
      </c>
      <c r="BET1" s="55" t="s">
        <v>2174</v>
      </c>
      <c r="BEU1" s="55" t="s">
        <v>2174</v>
      </c>
      <c r="BEV1" s="55" t="s">
        <v>2174</v>
      </c>
      <c r="BEW1" s="55" t="s">
        <v>2174</v>
      </c>
      <c r="BEX1" s="55" t="s">
        <v>2174</v>
      </c>
      <c r="BEY1" s="55" t="s">
        <v>2174</v>
      </c>
      <c r="BEZ1" s="55" t="s">
        <v>2174</v>
      </c>
      <c r="BFA1" s="55" t="s">
        <v>2174</v>
      </c>
      <c r="BFB1" s="55" t="s">
        <v>2174</v>
      </c>
      <c r="BFC1" s="55" t="s">
        <v>2174</v>
      </c>
      <c r="BFD1" s="55" t="s">
        <v>2174</v>
      </c>
      <c r="BFE1" s="55" t="s">
        <v>2174</v>
      </c>
      <c r="BFF1" s="55" t="s">
        <v>2174</v>
      </c>
      <c r="BFG1" s="55" t="s">
        <v>2174</v>
      </c>
      <c r="BFH1" s="55" t="s">
        <v>2174</v>
      </c>
      <c r="BFI1" s="55" t="s">
        <v>2174</v>
      </c>
      <c r="BFJ1" s="55" t="s">
        <v>2174</v>
      </c>
      <c r="BFK1" s="55" t="s">
        <v>2174</v>
      </c>
      <c r="BFL1" s="55" t="s">
        <v>2174</v>
      </c>
      <c r="BFM1" s="55" t="s">
        <v>2174</v>
      </c>
      <c r="BFN1" s="55" t="s">
        <v>2174</v>
      </c>
      <c r="BFO1" s="55" t="s">
        <v>2174</v>
      </c>
      <c r="BFP1" s="55" t="s">
        <v>2174</v>
      </c>
      <c r="BFQ1" s="55" t="s">
        <v>2174</v>
      </c>
      <c r="BFR1" s="55" t="s">
        <v>2174</v>
      </c>
      <c r="BFS1" s="55" t="s">
        <v>2174</v>
      </c>
      <c r="BFT1" s="55" t="s">
        <v>2174</v>
      </c>
      <c r="BFU1" s="55" t="s">
        <v>2174</v>
      </c>
      <c r="BFV1" s="55" t="s">
        <v>2174</v>
      </c>
      <c r="BFW1" s="55" t="s">
        <v>2174</v>
      </c>
      <c r="BFX1" s="55" t="s">
        <v>2174</v>
      </c>
      <c r="BFY1" s="55" t="s">
        <v>2174</v>
      </c>
      <c r="BFZ1" s="55" t="s">
        <v>2174</v>
      </c>
      <c r="BGA1" s="55" t="s">
        <v>2174</v>
      </c>
      <c r="BGB1" s="55" t="s">
        <v>2174</v>
      </c>
      <c r="BGC1" s="55" t="s">
        <v>2174</v>
      </c>
      <c r="BGD1" s="55" t="s">
        <v>2174</v>
      </c>
      <c r="BGE1" s="55" t="s">
        <v>2174</v>
      </c>
      <c r="BGF1" s="55" t="s">
        <v>2174</v>
      </c>
      <c r="BGG1" s="55" t="s">
        <v>2174</v>
      </c>
      <c r="BGH1" s="55" t="s">
        <v>2174</v>
      </c>
      <c r="BGI1" s="55" t="s">
        <v>2174</v>
      </c>
      <c r="BGJ1" s="55" t="s">
        <v>2174</v>
      </c>
      <c r="BGK1" s="55" t="s">
        <v>2174</v>
      </c>
      <c r="BGL1" s="55" t="s">
        <v>2174</v>
      </c>
      <c r="BGM1" s="55" t="s">
        <v>2174</v>
      </c>
      <c r="BGN1" s="55" t="s">
        <v>2174</v>
      </c>
      <c r="BGO1" s="55" t="s">
        <v>2174</v>
      </c>
      <c r="BGP1" s="55" t="s">
        <v>2174</v>
      </c>
      <c r="BGQ1" s="55" t="s">
        <v>2174</v>
      </c>
      <c r="BGR1" s="55" t="s">
        <v>2174</v>
      </c>
      <c r="BGS1" s="55" t="s">
        <v>2174</v>
      </c>
      <c r="BGT1" s="55" t="s">
        <v>2174</v>
      </c>
      <c r="BGU1" s="55" t="s">
        <v>2174</v>
      </c>
      <c r="BGV1" s="55" t="s">
        <v>2174</v>
      </c>
      <c r="BGW1" s="55" t="s">
        <v>2174</v>
      </c>
      <c r="BGX1" s="55" t="s">
        <v>2174</v>
      </c>
      <c r="BGY1" s="55" t="s">
        <v>2174</v>
      </c>
      <c r="BGZ1" s="55" t="s">
        <v>2174</v>
      </c>
      <c r="BHA1" s="55" t="s">
        <v>2174</v>
      </c>
      <c r="BHB1" s="55" t="s">
        <v>2174</v>
      </c>
      <c r="BHC1" s="55" t="s">
        <v>2174</v>
      </c>
      <c r="BHD1" s="55" t="s">
        <v>2174</v>
      </c>
      <c r="BHE1" s="55" t="s">
        <v>2174</v>
      </c>
      <c r="BHF1" s="55" t="s">
        <v>2174</v>
      </c>
      <c r="BHG1" s="55" t="s">
        <v>2174</v>
      </c>
      <c r="BHH1" s="55" t="s">
        <v>2174</v>
      </c>
      <c r="BHI1" s="55" t="s">
        <v>2174</v>
      </c>
      <c r="BHJ1" s="55" t="s">
        <v>2174</v>
      </c>
      <c r="BHK1" s="55" t="s">
        <v>2174</v>
      </c>
      <c r="BHL1" s="55" t="s">
        <v>2174</v>
      </c>
      <c r="BHM1" s="55" t="s">
        <v>2174</v>
      </c>
      <c r="BHN1" s="55" t="s">
        <v>2174</v>
      </c>
      <c r="BHO1" s="55" t="s">
        <v>2174</v>
      </c>
      <c r="BHP1" s="55" t="s">
        <v>2174</v>
      </c>
      <c r="BHQ1" s="55" t="s">
        <v>2174</v>
      </c>
      <c r="BHR1" s="55" t="s">
        <v>2174</v>
      </c>
      <c r="BHS1" s="55" t="s">
        <v>2174</v>
      </c>
      <c r="BHT1" s="55" t="s">
        <v>2174</v>
      </c>
      <c r="BHU1" s="55" t="s">
        <v>2174</v>
      </c>
      <c r="BHV1" s="55" t="s">
        <v>2174</v>
      </c>
      <c r="BHW1" s="55" t="s">
        <v>2174</v>
      </c>
      <c r="BHX1" s="55" t="s">
        <v>2174</v>
      </c>
      <c r="BHY1" s="55" t="s">
        <v>2174</v>
      </c>
      <c r="BHZ1" s="55" t="s">
        <v>2174</v>
      </c>
      <c r="BIA1" s="55" t="s">
        <v>2174</v>
      </c>
      <c r="BIB1" s="55" t="s">
        <v>2174</v>
      </c>
      <c r="BIC1" s="55" t="s">
        <v>2174</v>
      </c>
      <c r="BID1" s="55" t="s">
        <v>2174</v>
      </c>
      <c r="BIE1" s="55" t="s">
        <v>2174</v>
      </c>
      <c r="BIF1" s="55" t="s">
        <v>2174</v>
      </c>
      <c r="BIG1" s="55" t="s">
        <v>2174</v>
      </c>
      <c r="BIH1" s="55" t="s">
        <v>2174</v>
      </c>
      <c r="BII1" s="55" t="s">
        <v>2174</v>
      </c>
      <c r="BIJ1" s="55" t="s">
        <v>2174</v>
      </c>
      <c r="BIK1" s="55" t="s">
        <v>2174</v>
      </c>
      <c r="BIL1" s="55" t="s">
        <v>2174</v>
      </c>
      <c r="BIM1" s="55" t="s">
        <v>2174</v>
      </c>
      <c r="BIN1" s="55" t="s">
        <v>2174</v>
      </c>
      <c r="BIO1" s="55" t="s">
        <v>2174</v>
      </c>
      <c r="BIP1" s="55" t="s">
        <v>2174</v>
      </c>
      <c r="BIQ1" s="55" t="s">
        <v>2174</v>
      </c>
      <c r="BIR1" s="55" t="s">
        <v>2174</v>
      </c>
      <c r="BIS1" s="55" t="s">
        <v>2174</v>
      </c>
      <c r="BIT1" s="55" t="s">
        <v>2174</v>
      </c>
      <c r="BIU1" s="55" t="s">
        <v>2174</v>
      </c>
      <c r="BIV1" s="55" t="s">
        <v>2174</v>
      </c>
      <c r="BIW1" s="55" t="s">
        <v>2174</v>
      </c>
      <c r="BIX1" s="55" t="s">
        <v>2174</v>
      </c>
      <c r="BIY1" s="55" t="s">
        <v>2174</v>
      </c>
      <c r="BIZ1" s="55" t="s">
        <v>2174</v>
      </c>
      <c r="BJA1" s="55" t="s">
        <v>2174</v>
      </c>
      <c r="BJB1" s="55" t="s">
        <v>2174</v>
      </c>
      <c r="BJC1" s="55" t="s">
        <v>2174</v>
      </c>
      <c r="BJD1" s="55" t="s">
        <v>2174</v>
      </c>
      <c r="BJE1" s="55" t="s">
        <v>2174</v>
      </c>
      <c r="BJF1" s="55" t="s">
        <v>2174</v>
      </c>
      <c r="BJG1" s="55" t="s">
        <v>2174</v>
      </c>
      <c r="BJH1" s="55" t="s">
        <v>2174</v>
      </c>
      <c r="BJI1" s="55" t="s">
        <v>2174</v>
      </c>
      <c r="BJJ1" s="55" t="s">
        <v>2174</v>
      </c>
      <c r="BJK1" s="55" t="s">
        <v>2174</v>
      </c>
      <c r="BJL1" s="55" t="s">
        <v>2174</v>
      </c>
      <c r="BJM1" s="55" t="s">
        <v>2174</v>
      </c>
      <c r="BJN1" s="55" t="s">
        <v>2174</v>
      </c>
      <c r="BJO1" s="55" t="s">
        <v>2174</v>
      </c>
      <c r="BJP1" s="55" t="s">
        <v>2174</v>
      </c>
      <c r="BJQ1" s="55" t="s">
        <v>2174</v>
      </c>
      <c r="BJR1" s="55" t="s">
        <v>2174</v>
      </c>
      <c r="BJS1" s="55" t="s">
        <v>2174</v>
      </c>
      <c r="BJT1" s="55" t="s">
        <v>2174</v>
      </c>
      <c r="BJU1" s="55" t="s">
        <v>2174</v>
      </c>
      <c r="BJV1" s="55" t="s">
        <v>2174</v>
      </c>
      <c r="BJW1" s="55" t="s">
        <v>2174</v>
      </c>
      <c r="BJX1" s="55" t="s">
        <v>2174</v>
      </c>
      <c r="BJY1" s="55" t="s">
        <v>2174</v>
      </c>
      <c r="BJZ1" s="55" t="s">
        <v>2174</v>
      </c>
      <c r="BKA1" s="55" t="s">
        <v>2174</v>
      </c>
      <c r="BKB1" s="55" t="s">
        <v>2174</v>
      </c>
      <c r="BKC1" s="55" t="s">
        <v>2174</v>
      </c>
    </row>
    <row r="2" spans="1:2977" s="57" customFormat="1" ht="17.850000000000001" customHeight="1" x14ac:dyDescent="0.2">
      <c r="A2" s="53" t="s">
        <v>1</v>
      </c>
      <c r="B2" s="53"/>
      <c r="C2" s="21" t="s">
        <v>2175</v>
      </c>
      <c r="D2" s="54"/>
      <c r="E2" s="54"/>
      <c r="F2" s="54"/>
      <c r="G2" s="54"/>
      <c r="H2" s="54"/>
      <c r="I2" s="54"/>
      <c r="J2" s="54"/>
      <c r="K2" s="20"/>
      <c r="L2" s="21"/>
      <c r="M2" s="55" t="s">
        <v>2174</v>
      </c>
      <c r="N2" s="55" t="s">
        <v>2174</v>
      </c>
      <c r="O2" s="55" t="s">
        <v>2174</v>
      </c>
      <c r="P2" s="55" t="s">
        <v>2174</v>
      </c>
      <c r="Q2" s="55" t="s">
        <v>2174</v>
      </c>
      <c r="R2" s="55" t="s">
        <v>2174</v>
      </c>
      <c r="S2" s="55" t="s">
        <v>2174</v>
      </c>
      <c r="T2" s="55" t="s">
        <v>2174</v>
      </c>
      <c r="U2" s="55" t="s">
        <v>2174</v>
      </c>
      <c r="V2" s="55" t="s">
        <v>2174</v>
      </c>
      <c r="W2" s="55" t="s">
        <v>2174</v>
      </c>
      <c r="X2" s="55" t="s">
        <v>2174</v>
      </c>
      <c r="Y2" s="55" t="s">
        <v>2174</v>
      </c>
      <c r="Z2" s="55" t="s">
        <v>2174</v>
      </c>
      <c r="AA2" s="55" t="s">
        <v>2174</v>
      </c>
      <c r="AB2" s="55" t="s">
        <v>2174</v>
      </c>
      <c r="AC2" s="55" t="s">
        <v>2174</v>
      </c>
      <c r="AD2" s="55" t="s">
        <v>2174</v>
      </c>
      <c r="AE2" s="55" t="s">
        <v>2174</v>
      </c>
      <c r="AF2" s="55" t="s">
        <v>2174</v>
      </c>
      <c r="AG2" s="55" t="s">
        <v>2174</v>
      </c>
      <c r="AH2" s="55" t="s">
        <v>2174</v>
      </c>
      <c r="AI2" s="55" t="s">
        <v>2174</v>
      </c>
      <c r="AJ2" s="55" t="s">
        <v>2174</v>
      </c>
      <c r="AK2" s="55" t="s">
        <v>2174</v>
      </c>
      <c r="AL2" s="55" t="s">
        <v>2174</v>
      </c>
      <c r="AM2" s="55" t="s">
        <v>2174</v>
      </c>
      <c r="AN2" s="55" t="s">
        <v>2174</v>
      </c>
      <c r="AO2" s="55" t="s">
        <v>2174</v>
      </c>
      <c r="AP2" s="55" t="s">
        <v>2174</v>
      </c>
      <c r="AQ2" s="55" t="s">
        <v>2174</v>
      </c>
      <c r="AR2" s="55" t="s">
        <v>2174</v>
      </c>
      <c r="AS2" s="55" t="s">
        <v>2174</v>
      </c>
      <c r="AT2" s="55" t="s">
        <v>2174</v>
      </c>
      <c r="AU2" s="55" t="s">
        <v>2174</v>
      </c>
      <c r="AV2" s="55" t="s">
        <v>2174</v>
      </c>
      <c r="AW2" s="55" t="s">
        <v>2174</v>
      </c>
      <c r="AX2" s="55" t="s">
        <v>2174</v>
      </c>
      <c r="AY2" s="55" t="s">
        <v>2174</v>
      </c>
      <c r="AZ2" s="55" t="s">
        <v>2174</v>
      </c>
      <c r="BA2" s="55" t="s">
        <v>2174</v>
      </c>
      <c r="BB2" s="55" t="s">
        <v>2174</v>
      </c>
      <c r="BC2" s="55" t="s">
        <v>2174</v>
      </c>
      <c r="BD2" s="55" t="s">
        <v>2174</v>
      </c>
      <c r="BE2" s="55" t="s">
        <v>2174</v>
      </c>
      <c r="BF2" s="55" t="s">
        <v>2174</v>
      </c>
      <c r="BG2" s="55" t="s">
        <v>2174</v>
      </c>
      <c r="BH2" s="55" t="s">
        <v>2174</v>
      </c>
      <c r="BI2" s="55" t="s">
        <v>2174</v>
      </c>
      <c r="BJ2" s="55" t="s">
        <v>2174</v>
      </c>
      <c r="BK2" s="55" t="s">
        <v>2174</v>
      </c>
      <c r="BL2" s="55" t="s">
        <v>2174</v>
      </c>
      <c r="BM2" s="55" t="s">
        <v>2174</v>
      </c>
      <c r="BN2" s="55" t="s">
        <v>2174</v>
      </c>
      <c r="BO2" s="55" t="s">
        <v>2174</v>
      </c>
      <c r="BP2" s="55" t="s">
        <v>2174</v>
      </c>
      <c r="BQ2" s="55" t="s">
        <v>2174</v>
      </c>
      <c r="BR2" s="55" t="s">
        <v>2174</v>
      </c>
      <c r="BS2" s="55" t="s">
        <v>2174</v>
      </c>
      <c r="BT2" s="55" t="s">
        <v>2174</v>
      </c>
      <c r="BU2" s="55" t="s">
        <v>2174</v>
      </c>
      <c r="BV2" s="55" t="s">
        <v>2174</v>
      </c>
      <c r="BW2" s="55" t="s">
        <v>2174</v>
      </c>
      <c r="BX2" s="55" t="s">
        <v>2174</v>
      </c>
      <c r="BY2" s="55" t="s">
        <v>2174</v>
      </c>
      <c r="BZ2" s="55" t="s">
        <v>2174</v>
      </c>
      <c r="CA2" s="55" t="s">
        <v>2174</v>
      </c>
      <c r="CB2" s="55" t="s">
        <v>2174</v>
      </c>
      <c r="CC2" s="55" t="s">
        <v>2174</v>
      </c>
      <c r="CD2" s="55" t="s">
        <v>2174</v>
      </c>
      <c r="CE2" s="55" t="s">
        <v>2174</v>
      </c>
      <c r="CF2" s="55" t="s">
        <v>2174</v>
      </c>
      <c r="CG2" s="55" t="s">
        <v>2174</v>
      </c>
      <c r="CH2" s="55" t="s">
        <v>2174</v>
      </c>
      <c r="CI2" s="55" t="s">
        <v>2174</v>
      </c>
      <c r="CJ2" s="55" t="s">
        <v>2174</v>
      </c>
      <c r="CK2" s="55" t="s">
        <v>2174</v>
      </c>
      <c r="CL2" s="55" t="s">
        <v>2174</v>
      </c>
      <c r="CM2" s="55" t="s">
        <v>2174</v>
      </c>
      <c r="CN2" s="55" t="s">
        <v>2174</v>
      </c>
      <c r="CO2" s="55" t="s">
        <v>2174</v>
      </c>
      <c r="CP2" s="55" t="s">
        <v>2174</v>
      </c>
      <c r="CQ2" s="55" t="s">
        <v>2174</v>
      </c>
      <c r="CR2" s="55" t="s">
        <v>2174</v>
      </c>
      <c r="CS2" s="55" t="s">
        <v>2174</v>
      </c>
      <c r="CT2" s="55" t="s">
        <v>2174</v>
      </c>
      <c r="CU2" s="55" t="s">
        <v>2174</v>
      </c>
      <c r="CV2" s="55" t="s">
        <v>2174</v>
      </c>
      <c r="CW2" s="55" t="s">
        <v>2174</v>
      </c>
      <c r="CX2" s="55" t="s">
        <v>2174</v>
      </c>
      <c r="CY2" s="55" t="s">
        <v>2174</v>
      </c>
      <c r="CZ2" s="55" t="s">
        <v>2174</v>
      </c>
      <c r="DA2" s="55" t="s">
        <v>2174</v>
      </c>
      <c r="DB2" s="55" t="s">
        <v>2174</v>
      </c>
      <c r="DC2" s="55" t="s">
        <v>2174</v>
      </c>
      <c r="DD2" s="55" t="s">
        <v>2174</v>
      </c>
      <c r="DE2" s="55" t="s">
        <v>2174</v>
      </c>
      <c r="DF2" s="55" t="s">
        <v>2174</v>
      </c>
      <c r="DG2" s="55" t="s">
        <v>2174</v>
      </c>
      <c r="DH2" s="55" t="s">
        <v>2174</v>
      </c>
      <c r="DI2" s="55" t="s">
        <v>2174</v>
      </c>
      <c r="DJ2" s="55" t="s">
        <v>2174</v>
      </c>
      <c r="DK2" s="55" t="s">
        <v>2174</v>
      </c>
      <c r="DL2" s="55" t="s">
        <v>2174</v>
      </c>
      <c r="DM2" s="55" t="s">
        <v>2174</v>
      </c>
      <c r="DN2" s="55" t="s">
        <v>2174</v>
      </c>
      <c r="DO2" s="55" t="s">
        <v>2174</v>
      </c>
      <c r="DP2" s="55" t="s">
        <v>2174</v>
      </c>
      <c r="DQ2" s="55" t="s">
        <v>2174</v>
      </c>
      <c r="DR2" s="55" t="s">
        <v>2174</v>
      </c>
      <c r="DS2" s="55" t="s">
        <v>2174</v>
      </c>
      <c r="DT2" s="55" t="s">
        <v>2174</v>
      </c>
      <c r="DU2" s="55" t="s">
        <v>2174</v>
      </c>
      <c r="DV2" s="55" t="s">
        <v>2174</v>
      </c>
      <c r="DW2" s="55" t="s">
        <v>2174</v>
      </c>
      <c r="DX2" s="55" t="s">
        <v>2174</v>
      </c>
      <c r="DY2" s="55" t="s">
        <v>2174</v>
      </c>
      <c r="DZ2" s="55" t="s">
        <v>2174</v>
      </c>
      <c r="EA2" s="55" t="s">
        <v>2174</v>
      </c>
      <c r="EB2" s="55" t="s">
        <v>2174</v>
      </c>
      <c r="EC2" s="55" t="s">
        <v>2174</v>
      </c>
      <c r="ED2" s="55" t="s">
        <v>2174</v>
      </c>
      <c r="EE2" s="55" t="s">
        <v>2174</v>
      </c>
      <c r="EF2" s="55" t="s">
        <v>2174</v>
      </c>
      <c r="EG2" s="55" t="s">
        <v>2174</v>
      </c>
      <c r="EH2" s="55" t="s">
        <v>2174</v>
      </c>
      <c r="EI2" s="55" t="s">
        <v>2174</v>
      </c>
      <c r="EJ2" s="55" t="s">
        <v>2174</v>
      </c>
      <c r="EK2" s="55" t="s">
        <v>2174</v>
      </c>
      <c r="EL2" s="55" t="s">
        <v>2174</v>
      </c>
      <c r="EM2" s="55" t="s">
        <v>2174</v>
      </c>
      <c r="EN2" s="55" t="s">
        <v>2174</v>
      </c>
      <c r="EO2" s="55" t="s">
        <v>2174</v>
      </c>
      <c r="EP2" s="55" t="s">
        <v>2174</v>
      </c>
      <c r="EQ2" s="55" t="s">
        <v>2174</v>
      </c>
      <c r="ER2" s="55" t="s">
        <v>2174</v>
      </c>
      <c r="ES2" s="55" t="s">
        <v>2174</v>
      </c>
      <c r="ET2" s="55" t="s">
        <v>2174</v>
      </c>
      <c r="EU2" s="55" t="s">
        <v>2174</v>
      </c>
      <c r="EV2" s="55" t="s">
        <v>2174</v>
      </c>
      <c r="EW2" s="55" t="s">
        <v>2174</v>
      </c>
      <c r="EX2" s="55" t="s">
        <v>2174</v>
      </c>
      <c r="EY2" s="55" t="s">
        <v>2174</v>
      </c>
      <c r="EZ2" s="55" t="s">
        <v>2174</v>
      </c>
      <c r="FA2" s="55" t="s">
        <v>2174</v>
      </c>
      <c r="FB2" s="55" t="s">
        <v>2174</v>
      </c>
      <c r="FC2" s="55" t="s">
        <v>2174</v>
      </c>
      <c r="FD2" s="55" t="s">
        <v>2174</v>
      </c>
      <c r="FE2" s="55" t="s">
        <v>2174</v>
      </c>
      <c r="FF2" s="55" t="s">
        <v>2174</v>
      </c>
      <c r="FG2" s="55" t="s">
        <v>2174</v>
      </c>
      <c r="FH2" s="55" t="s">
        <v>2174</v>
      </c>
      <c r="FI2" s="55" t="s">
        <v>2174</v>
      </c>
      <c r="FJ2" s="55" t="s">
        <v>2174</v>
      </c>
      <c r="FK2" s="55" t="s">
        <v>2174</v>
      </c>
      <c r="FL2" s="55" t="s">
        <v>2174</v>
      </c>
      <c r="FM2" s="55" t="s">
        <v>2174</v>
      </c>
      <c r="FN2" s="55" t="s">
        <v>2174</v>
      </c>
      <c r="FO2" s="55" t="s">
        <v>2174</v>
      </c>
      <c r="FP2" s="55" t="s">
        <v>2174</v>
      </c>
      <c r="FQ2" s="55" t="s">
        <v>2174</v>
      </c>
      <c r="FR2" s="55" t="s">
        <v>2174</v>
      </c>
      <c r="FS2" s="55" t="s">
        <v>2174</v>
      </c>
      <c r="FT2" s="55" t="s">
        <v>2174</v>
      </c>
      <c r="FU2" s="55" t="s">
        <v>2174</v>
      </c>
      <c r="FV2" s="55" t="s">
        <v>2174</v>
      </c>
      <c r="FW2" s="55" t="s">
        <v>2174</v>
      </c>
      <c r="FX2" s="55" t="s">
        <v>2174</v>
      </c>
      <c r="FY2" s="55" t="s">
        <v>2174</v>
      </c>
      <c r="FZ2" s="55" t="s">
        <v>2174</v>
      </c>
      <c r="GA2" s="55" t="s">
        <v>2174</v>
      </c>
      <c r="GB2" s="55" t="s">
        <v>2174</v>
      </c>
      <c r="GC2" s="55" t="s">
        <v>2174</v>
      </c>
      <c r="GD2" s="55" t="s">
        <v>2174</v>
      </c>
      <c r="GE2" s="55" t="s">
        <v>2174</v>
      </c>
      <c r="GF2" s="55" t="s">
        <v>2174</v>
      </c>
      <c r="GG2" s="55" t="s">
        <v>2174</v>
      </c>
      <c r="GH2" s="55" t="s">
        <v>2174</v>
      </c>
      <c r="GI2" s="55" t="s">
        <v>2174</v>
      </c>
      <c r="GJ2" s="55" t="s">
        <v>2174</v>
      </c>
      <c r="GK2" s="55" t="s">
        <v>2174</v>
      </c>
      <c r="GL2" s="55" t="s">
        <v>2174</v>
      </c>
      <c r="GM2" s="55" t="s">
        <v>2174</v>
      </c>
      <c r="GN2" s="55" t="s">
        <v>2174</v>
      </c>
      <c r="GO2" s="55" t="s">
        <v>2174</v>
      </c>
      <c r="GP2" s="55" t="s">
        <v>2174</v>
      </c>
      <c r="GQ2" s="55" t="s">
        <v>2174</v>
      </c>
      <c r="GR2" s="55" t="s">
        <v>2174</v>
      </c>
      <c r="GS2" s="55" t="s">
        <v>2174</v>
      </c>
      <c r="GT2" s="55" t="s">
        <v>2174</v>
      </c>
      <c r="GU2" s="55" t="s">
        <v>2174</v>
      </c>
      <c r="GV2" s="55" t="s">
        <v>2174</v>
      </c>
      <c r="GW2" s="55" t="s">
        <v>2174</v>
      </c>
      <c r="GX2" s="55" t="s">
        <v>2174</v>
      </c>
      <c r="GY2" s="55" t="s">
        <v>2174</v>
      </c>
      <c r="GZ2" s="55" t="s">
        <v>2174</v>
      </c>
      <c r="HA2" s="55" t="s">
        <v>2174</v>
      </c>
      <c r="HB2" s="55" t="s">
        <v>2174</v>
      </c>
      <c r="HC2" s="55" t="s">
        <v>2174</v>
      </c>
      <c r="HD2" s="55" t="s">
        <v>2174</v>
      </c>
      <c r="HE2" s="55" t="s">
        <v>2174</v>
      </c>
      <c r="HF2" s="55" t="s">
        <v>2174</v>
      </c>
      <c r="HG2" s="55" t="s">
        <v>2174</v>
      </c>
      <c r="HH2" s="55" t="s">
        <v>2174</v>
      </c>
      <c r="HI2" s="55" t="s">
        <v>2174</v>
      </c>
      <c r="HJ2" s="55" t="s">
        <v>2174</v>
      </c>
      <c r="HK2" s="55" t="s">
        <v>2174</v>
      </c>
      <c r="HL2" s="55" t="s">
        <v>2174</v>
      </c>
      <c r="HM2" s="55" t="s">
        <v>2174</v>
      </c>
      <c r="HN2" s="55" t="s">
        <v>2174</v>
      </c>
      <c r="HO2" s="55" t="s">
        <v>2174</v>
      </c>
      <c r="HP2" s="55" t="s">
        <v>2174</v>
      </c>
      <c r="HQ2" s="55" t="s">
        <v>2174</v>
      </c>
      <c r="HR2" s="55" t="s">
        <v>2174</v>
      </c>
      <c r="HS2" s="55" t="s">
        <v>2174</v>
      </c>
      <c r="HT2" s="55" t="s">
        <v>2174</v>
      </c>
      <c r="HU2" s="55" t="s">
        <v>2174</v>
      </c>
      <c r="HV2" s="55" t="s">
        <v>2174</v>
      </c>
      <c r="HW2" s="55" t="s">
        <v>2174</v>
      </c>
      <c r="HX2" s="55" t="s">
        <v>2174</v>
      </c>
      <c r="HY2" s="55" t="s">
        <v>2174</v>
      </c>
      <c r="HZ2" s="55" t="s">
        <v>2174</v>
      </c>
      <c r="IA2" s="55" t="s">
        <v>2174</v>
      </c>
      <c r="IB2" s="55" t="s">
        <v>2174</v>
      </c>
      <c r="IC2" s="55" t="s">
        <v>2174</v>
      </c>
      <c r="ID2" s="55" t="s">
        <v>2174</v>
      </c>
      <c r="IE2" s="55" t="s">
        <v>2174</v>
      </c>
      <c r="IF2" s="55" t="s">
        <v>2174</v>
      </c>
      <c r="IG2" s="55" t="s">
        <v>2174</v>
      </c>
      <c r="IH2" s="55" t="s">
        <v>2174</v>
      </c>
      <c r="II2" s="55" t="s">
        <v>2174</v>
      </c>
      <c r="IJ2" s="55" t="s">
        <v>2174</v>
      </c>
      <c r="IK2" s="55" t="s">
        <v>2174</v>
      </c>
      <c r="IL2" s="55" t="s">
        <v>2174</v>
      </c>
      <c r="IM2" s="55" t="s">
        <v>2174</v>
      </c>
      <c r="IN2" s="55" t="s">
        <v>2174</v>
      </c>
      <c r="IO2" s="55" t="s">
        <v>2174</v>
      </c>
      <c r="IP2" s="55" t="s">
        <v>2174</v>
      </c>
      <c r="IQ2" s="55" t="s">
        <v>2174</v>
      </c>
      <c r="IR2" s="55" t="s">
        <v>2174</v>
      </c>
      <c r="IS2" s="55" t="s">
        <v>2174</v>
      </c>
      <c r="IT2" s="55" t="s">
        <v>2174</v>
      </c>
      <c r="IU2" s="55" t="s">
        <v>2174</v>
      </c>
      <c r="IV2" s="55" t="s">
        <v>2174</v>
      </c>
      <c r="IW2" s="55" t="s">
        <v>2174</v>
      </c>
      <c r="IX2" s="55" t="s">
        <v>2174</v>
      </c>
      <c r="IY2" s="55" t="s">
        <v>2174</v>
      </c>
      <c r="IZ2" s="55" t="s">
        <v>2174</v>
      </c>
      <c r="JA2" s="55" t="s">
        <v>2174</v>
      </c>
      <c r="JB2" s="55" t="s">
        <v>2174</v>
      </c>
      <c r="JC2" s="55" t="s">
        <v>2174</v>
      </c>
      <c r="JD2" s="55" t="s">
        <v>2174</v>
      </c>
      <c r="JE2" s="55" t="s">
        <v>2174</v>
      </c>
      <c r="JF2" s="55" t="s">
        <v>2174</v>
      </c>
      <c r="JG2" s="55" t="s">
        <v>2174</v>
      </c>
      <c r="JH2" s="55" t="s">
        <v>2174</v>
      </c>
      <c r="JI2" s="55" t="s">
        <v>2174</v>
      </c>
      <c r="JJ2" s="55" t="s">
        <v>2174</v>
      </c>
      <c r="JK2" s="55" t="s">
        <v>2174</v>
      </c>
      <c r="JL2" s="55" t="s">
        <v>2174</v>
      </c>
      <c r="JM2" s="55" t="s">
        <v>2174</v>
      </c>
      <c r="JN2" s="55" t="s">
        <v>2174</v>
      </c>
      <c r="JO2" s="55" t="s">
        <v>2174</v>
      </c>
      <c r="JP2" s="55" t="s">
        <v>2174</v>
      </c>
      <c r="JQ2" s="55" t="s">
        <v>2174</v>
      </c>
      <c r="JR2" s="55" t="s">
        <v>2174</v>
      </c>
      <c r="JS2" s="55" t="s">
        <v>2174</v>
      </c>
      <c r="JT2" s="55" t="s">
        <v>2174</v>
      </c>
      <c r="JU2" s="55" t="s">
        <v>2174</v>
      </c>
      <c r="JV2" s="55" t="s">
        <v>2174</v>
      </c>
      <c r="JW2" s="55" t="s">
        <v>2174</v>
      </c>
      <c r="JX2" s="55" t="s">
        <v>2174</v>
      </c>
      <c r="JY2" s="55" t="s">
        <v>2174</v>
      </c>
      <c r="JZ2" s="55" t="s">
        <v>2174</v>
      </c>
      <c r="KA2" s="55" t="s">
        <v>2174</v>
      </c>
      <c r="KB2" s="55" t="s">
        <v>2174</v>
      </c>
      <c r="KC2" s="55" t="s">
        <v>2174</v>
      </c>
      <c r="KD2" s="55" t="s">
        <v>2174</v>
      </c>
      <c r="KE2" s="55" t="s">
        <v>2174</v>
      </c>
      <c r="KF2" s="55" t="s">
        <v>2174</v>
      </c>
      <c r="KG2" s="55" t="s">
        <v>2174</v>
      </c>
      <c r="KH2" s="55" t="s">
        <v>2174</v>
      </c>
      <c r="KI2" s="55" t="s">
        <v>2174</v>
      </c>
      <c r="KJ2" s="55" t="s">
        <v>2174</v>
      </c>
      <c r="KK2" s="55" t="s">
        <v>2174</v>
      </c>
      <c r="KL2" s="55" t="s">
        <v>2174</v>
      </c>
      <c r="KM2" s="55" t="s">
        <v>2174</v>
      </c>
      <c r="KN2" s="55" t="s">
        <v>2174</v>
      </c>
      <c r="KO2" s="55" t="s">
        <v>2174</v>
      </c>
      <c r="KP2" s="55" t="s">
        <v>2174</v>
      </c>
      <c r="KQ2" s="55" t="s">
        <v>2174</v>
      </c>
      <c r="KR2" s="55" t="s">
        <v>2174</v>
      </c>
      <c r="KS2" s="55" t="s">
        <v>2174</v>
      </c>
      <c r="KT2" s="55" t="s">
        <v>2174</v>
      </c>
      <c r="KU2" s="55" t="s">
        <v>2174</v>
      </c>
      <c r="KV2" s="55" t="s">
        <v>2174</v>
      </c>
      <c r="KW2" s="55" t="s">
        <v>2174</v>
      </c>
      <c r="KX2" s="55" t="s">
        <v>2174</v>
      </c>
      <c r="KY2" s="55" t="s">
        <v>2174</v>
      </c>
      <c r="KZ2" s="55" t="s">
        <v>2174</v>
      </c>
      <c r="LA2" s="55" t="s">
        <v>2174</v>
      </c>
      <c r="LB2" s="55" t="s">
        <v>2174</v>
      </c>
      <c r="LC2" s="55" t="s">
        <v>2174</v>
      </c>
      <c r="LD2" s="55" t="s">
        <v>2174</v>
      </c>
      <c r="LE2" s="55" t="s">
        <v>2174</v>
      </c>
      <c r="LF2" s="55" t="s">
        <v>2174</v>
      </c>
      <c r="LG2" s="55" t="s">
        <v>2174</v>
      </c>
      <c r="LH2" s="55" t="s">
        <v>2174</v>
      </c>
      <c r="LI2" s="55" t="s">
        <v>2174</v>
      </c>
      <c r="LJ2" s="55" t="s">
        <v>2174</v>
      </c>
      <c r="LK2" s="55" t="s">
        <v>2174</v>
      </c>
      <c r="LL2" s="55" t="s">
        <v>2174</v>
      </c>
      <c r="LM2" s="55" t="s">
        <v>2174</v>
      </c>
      <c r="LN2" s="55" t="s">
        <v>2174</v>
      </c>
      <c r="LO2" s="55" t="s">
        <v>2174</v>
      </c>
      <c r="LP2" s="55" t="s">
        <v>2174</v>
      </c>
      <c r="LQ2" s="55" t="s">
        <v>2174</v>
      </c>
      <c r="LR2" s="55" t="s">
        <v>2174</v>
      </c>
      <c r="LS2" s="55" t="s">
        <v>2174</v>
      </c>
      <c r="LT2" s="55" t="s">
        <v>2174</v>
      </c>
      <c r="LU2" s="55" t="s">
        <v>2174</v>
      </c>
      <c r="LV2" s="55" t="s">
        <v>2174</v>
      </c>
      <c r="LW2" s="55" t="s">
        <v>2174</v>
      </c>
      <c r="LX2" s="55" t="s">
        <v>2174</v>
      </c>
      <c r="LY2" s="55" t="s">
        <v>2174</v>
      </c>
      <c r="LZ2" s="55" t="s">
        <v>2174</v>
      </c>
      <c r="MA2" s="55" t="s">
        <v>2174</v>
      </c>
      <c r="MB2" s="55" t="s">
        <v>2174</v>
      </c>
      <c r="MC2" s="55" t="s">
        <v>2174</v>
      </c>
      <c r="MD2" s="55" t="s">
        <v>2174</v>
      </c>
      <c r="ME2" s="55" t="s">
        <v>2174</v>
      </c>
      <c r="MF2" s="55" t="s">
        <v>2174</v>
      </c>
      <c r="MG2" s="55" t="s">
        <v>2174</v>
      </c>
      <c r="MH2" s="55" t="s">
        <v>2174</v>
      </c>
      <c r="MI2" s="55" t="s">
        <v>2174</v>
      </c>
      <c r="MJ2" s="55" t="s">
        <v>2174</v>
      </c>
      <c r="MK2" s="55" t="s">
        <v>2174</v>
      </c>
      <c r="ML2" s="55" t="s">
        <v>2174</v>
      </c>
      <c r="MM2" s="55" t="s">
        <v>2174</v>
      </c>
      <c r="MN2" s="55" t="s">
        <v>2174</v>
      </c>
      <c r="MO2" s="55" t="s">
        <v>2174</v>
      </c>
      <c r="MP2" s="55" t="s">
        <v>2174</v>
      </c>
      <c r="MQ2" s="55" t="s">
        <v>2174</v>
      </c>
      <c r="MR2" s="55" t="s">
        <v>2174</v>
      </c>
      <c r="MS2" s="55" t="s">
        <v>2174</v>
      </c>
      <c r="MT2" s="55" t="s">
        <v>2174</v>
      </c>
      <c r="MU2" s="55" t="s">
        <v>2174</v>
      </c>
      <c r="MV2" s="55" t="s">
        <v>2174</v>
      </c>
      <c r="MW2" s="55" t="s">
        <v>2174</v>
      </c>
      <c r="MX2" s="55" t="s">
        <v>2174</v>
      </c>
      <c r="MY2" s="55" t="s">
        <v>2174</v>
      </c>
      <c r="MZ2" s="55" t="s">
        <v>2174</v>
      </c>
      <c r="NA2" s="55" t="s">
        <v>2174</v>
      </c>
      <c r="NB2" s="55" t="s">
        <v>2174</v>
      </c>
      <c r="NC2" s="55" t="s">
        <v>2174</v>
      </c>
      <c r="ND2" s="55" t="s">
        <v>2174</v>
      </c>
      <c r="NE2" s="55" t="s">
        <v>2174</v>
      </c>
      <c r="NF2" s="55" t="s">
        <v>2174</v>
      </c>
      <c r="NG2" s="55" t="s">
        <v>2174</v>
      </c>
      <c r="NH2" s="55" t="s">
        <v>2174</v>
      </c>
      <c r="NI2" s="55" t="s">
        <v>2174</v>
      </c>
      <c r="NJ2" s="55" t="s">
        <v>2174</v>
      </c>
      <c r="NK2" s="55" t="s">
        <v>2174</v>
      </c>
      <c r="NL2" s="55" t="s">
        <v>2174</v>
      </c>
      <c r="NM2" s="55" t="s">
        <v>2174</v>
      </c>
      <c r="NN2" s="55" t="s">
        <v>2174</v>
      </c>
      <c r="NO2" s="55" t="s">
        <v>2174</v>
      </c>
      <c r="NP2" s="55" t="s">
        <v>2174</v>
      </c>
      <c r="NQ2" s="55" t="s">
        <v>2174</v>
      </c>
      <c r="NR2" s="55" t="s">
        <v>2174</v>
      </c>
      <c r="NS2" s="55" t="s">
        <v>2174</v>
      </c>
      <c r="NT2" s="55" t="s">
        <v>2174</v>
      </c>
      <c r="NU2" s="55" t="s">
        <v>2174</v>
      </c>
      <c r="NV2" s="55" t="s">
        <v>2174</v>
      </c>
      <c r="NW2" s="55" t="s">
        <v>2174</v>
      </c>
      <c r="NX2" s="55" t="s">
        <v>2174</v>
      </c>
      <c r="NY2" s="55" t="s">
        <v>2174</v>
      </c>
      <c r="NZ2" s="55" t="s">
        <v>2174</v>
      </c>
      <c r="OA2" s="55" t="s">
        <v>2174</v>
      </c>
      <c r="OB2" s="55" t="s">
        <v>2174</v>
      </c>
      <c r="OC2" s="55" t="s">
        <v>2174</v>
      </c>
      <c r="OD2" s="55" t="s">
        <v>2174</v>
      </c>
      <c r="OE2" s="55" t="s">
        <v>2174</v>
      </c>
      <c r="OF2" s="55" t="s">
        <v>2174</v>
      </c>
      <c r="OG2" s="55" t="s">
        <v>2174</v>
      </c>
      <c r="OH2" s="55" t="s">
        <v>2174</v>
      </c>
      <c r="OI2" s="55" t="s">
        <v>2174</v>
      </c>
      <c r="OJ2" s="55" t="s">
        <v>2174</v>
      </c>
      <c r="OK2" s="55" t="s">
        <v>2174</v>
      </c>
      <c r="OL2" s="55" t="s">
        <v>2174</v>
      </c>
      <c r="OM2" s="55" t="s">
        <v>2174</v>
      </c>
      <c r="ON2" s="55" t="s">
        <v>2174</v>
      </c>
      <c r="OO2" s="55" t="s">
        <v>2174</v>
      </c>
      <c r="OP2" s="55" t="s">
        <v>2174</v>
      </c>
      <c r="OQ2" s="55" t="s">
        <v>2174</v>
      </c>
      <c r="OR2" s="55" t="s">
        <v>2174</v>
      </c>
      <c r="OS2" s="55" t="s">
        <v>2174</v>
      </c>
      <c r="OT2" s="55" t="s">
        <v>2174</v>
      </c>
      <c r="OU2" s="55" t="s">
        <v>2174</v>
      </c>
      <c r="OV2" s="55" t="s">
        <v>2174</v>
      </c>
      <c r="OW2" s="55" t="s">
        <v>2174</v>
      </c>
      <c r="OX2" s="55" t="s">
        <v>2174</v>
      </c>
      <c r="OY2" s="55" t="s">
        <v>2174</v>
      </c>
      <c r="OZ2" s="55" t="s">
        <v>2174</v>
      </c>
      <c r="PA2" s="55" t="s">
        <v>2174</v>
      </c>
      <c r="PB2" s="55" t="s">
        <v>2174</v>
      </c>
      <c r="PC2" s="55" t="s">
        <v>2174</v>
      </c>
      <c r="PD2" s="55" t="s">
        <v>2174</v>
      </c>
      <c r="PE2" s="55" t="s">
        <v>2174</v>
      </c>
      <c r="PF2" s="55" t="s">
        <v>2174</v>
      </c>
      <c r="PG2" s="55" t="s">
        <v>2174</v>
      </c>
      <c r="PH2" s="55" t="s">
        <v>2174</v>
      </c>
      <c r="PI2" s="55" t="s">
        <v>2174</v>
      </c>
      <c r="PJ2" s="55" t="s">
        <v>2174</v>
      </c>
      <c r="PK2" s="55" t="s">
        <v>2174</v>
      </c>
      <c r="PL2" s="55" t="s">
        <v>2174</v>
      </c>
      <c r="PM2" s="55" t="s">
        <v>2174</v>
      </c>
      <c r="PN2" s="55" t="s">
        <v>2174</v>
      </c>
      <c r="PO2" s="55" t="s">
        <v>2174</v>
      </c>
      <c r="PP2" s="55" t="s">
        <v>2174</v>
      </c>
      <c r="PQ2" s="55" t="s">
        <v>2174</v>
      </c>
      <c r="PR2" s="55" t="s">
        <v>2174</v>
      </c>
      <c r="PS2" s="55" t="s">
        <v>2174</v>
      </c>
      <c r="PT2" s="55" t="s">
        <v>2174</v>
      </c>
      <c r="PU2" s="55" t="s">
        <v>2174</v>
      </c>
      <c r="PV2" s="55" t="s">
        <v>2174</v>
      </c>
      <c r="PW2" s="55" t="s">
        <v>2174</v>
      </c>
      <c r="PX2" s="55" t="s">
        <v>2174</v>
      </c>
      <c r="PY2" s="55" t="s">
        <v>2174</v>
      </c>
      <c r="PZ2" s="55" t="s">
        <v>2174</v>
      </c>
      <c r="QA2" s="55" t="s">
        <v>2174</v>
      </c>
      <c r="QB2" s="55" t="s">
        <v>2174</v>
      </c>
      <c r="QC2" s="55" t="s">
        <v>2174</v>
      </c>
      <c r="QD2" s="55" t="s">
        <v>2174</v>
      </c>
      <c r="QE2" s="55" t="s">
        <v>2174</v>
      </c>
      <c r="QF2" s="55" t="s">
        <v>2174</v>
      </c>
      <c r="QG2" s="55" t="s">
        <v>2174</v>
      </c>
      <c r="QH2" s="55" t="s">
        <v>2174</v>
      </c>
      <c r="QI2" s="55" t="s">
        <v>2174</v>
      </c>
      <c r="QJ2" s="55" t="s">
        <v>2174</v>
      </c>
      <c r="QK2" s="55" t="s">
        <v>2174</v>
      </c>
      <c r="QL2" s="55" t="s">
        <v>2174</v>
      </c>
      <c r="QM2" s="55" t="s">
        <v>2174</v>
      </c>
      <c r="QN2" s="55" t="s">
        <v>2174</v>
      </c>
      <c r="QO2" s="55" t="s">
        <v>2174</v>
      </c>
      <c r="QP2" s="55" t="s">
        <v>2174</v>
      </c>
      <c r="QQ2" s="55" t="s">
        <v>2174</v>
      </c>
      <c r="QR2" s="55" t="s">
        <v>2174</v>
      </c>
      <c r="QS2" s="55" t="s">
        <v>2174</v>
      </c>
      <c r="QT2" s="55" t="s">
        <v>2174</v>
      </c>
      <c r="QU2" s="55" t="s">
        <v>2174</v>
      </c>
      <c r="QV2" s="55" t="s">
        <v>2174</v>
      </c>
      <c r="QW2" s="55" t="s">
        <v>2174</v>
      </c>
      <c r="QX2" s="55" t="s">
        <v>2174</v>
      </c>
      <c r="QY2" s="55" t="s">
        <v>2174</v>
      </c>
      <c r="QZ2" s="55" t="s">
        <v>2174</v>
      </c>
      <c r="RA2" s="55" t="s">
        <v>2174</v>
      </c>
      <c r="RB2" s="55" t="s">
        <v>2174</v>
      </c>
      <c r="RC2" s="55" t="s">
        <v>2174</v>
      </c>
      <c r="RD2" s="55" t="s">
        <v>2174</v>
      </c>
      <c r="RE2" s="55" t="s">
        <v>2174</v>
      </c>
      <c r="RF2" s="55" t="s">
        <v>2174</v>
      </c>
      <c r="RG2" s="55" t="s">
        <v>2174</v>
      </c>
      <c r="RH2" s="55" t="s">
        <v>2174</v>
      </c>
      <c r="RI2" s="55" t="s">
        <v>2174</v>
      </c>
      <c r="RJ2" s="55" t="s">
        <v>2174</v>
      </c>
      <c r="RK2" s="55" t="s">
        <v>2174</v>
      </c>
      <c r="RL2" s="55" t="s">
        <v>2174</v>
      </c>
      <c r="RM2" s="55" t="s">
        <v>2174</v>
      </c>
      <c r="RN2" s="55" t="s">
        <v>2174</v>
      </c>
      <c r="RO2" s="55" t="s">
        <v>2174</v>
      </c>
      <c r="RP2" s="55" t="s">
        <v>2174</v>
      </c>
      <c r="RQ2" s="55" t="s">
        <v>2174</v>
      </c>
      <c r="RR2" s="55" t="s">
        <v>2174</v>
      </c>
      <c r="RS2" s="55" t="s">
        <v>2174</v>
      </c>
      <c r="RT2" s="55" t="s">
        <v>2174</v>
      </c>
      <c r="RU2" s="55" t="s">
        <v>2174</v>
      </c>
      <c r="RV2" s="55" t="s">
        <v>2174</v>
      </c>
      <c r="RW2" s="55" t="s">
        <v>2174</v>
      </c>
      <c r="RX2" s="55" t="s">
        <v>2174</v>
      </c>
      <c r="RY2" s="55" t="s">
        <v>2174</v>
      </c>
      <c r="RZ2" s="55" t="s">
        <v>2174</v>
      </c>
      <c r="SA2" s="55" t="s">
        <v>2174</v>
      </c>
      <c r="SB2" s="55" t="s">
        <v>2174</v>
      </c>
      <c r="SC2" s="55" t="s">
        <v>2174</v>
      </c>
      <c r="SD2" s="55" t="s">
        <v>2174</v>
      </c>
      <c r="SE2" s="55" t="s">
        <v>2174</v>
      </c>
      <c r="SF2" s="55" t="s">
        <v>2174</v>
      </c>
      <c r="SG2" s="55" t="s">
        <v>2174</v>
      </c>
      <c r="SH2" s="55" t="s">
        <v>2174</v>
      </c>
      <c r="SI2" s="55" t="s">
        <v>2174</v>
      </c>
      <c r="SJ2" s="55" t="s">
        <v>2174</v>
      </c>
      <c r="SK2" s="55" t="s">
        <v>2174</v>
      </c>
      <c r="SL2" s="55" t="s">
        <v>2174</v>
      </c>
      <c r="SM2" s="55" t="s">
        <v>2174</v>
      </c>
      <c r="SN2" s="55" t="s">
        <v>2174</v>
      </c>
      <c r="SO2" s="55" t="s">
        <v>2174</v>
      </c>
      <c r="SP2" s="55" t="s">
        <v>2174</v>
      </c>
      <c r="SQ2" s="55" t="s">
        <v>2174</v>
      </c>
      <c r="SR2" s="55" t="s">
        <v>2174</v>
      </c>
      <c r="SS2" s="55" t="s">
        <v>2174</v>
      </c>
      <c r="ST2" s="55" t="s">
        <v>2174</v>
      </c>
      <c r="SU2" s="55" t="s">
        <v>2174</v>
      </c>
      <c r="SV2" s="55" t="s">
        <v>2174</v>
      </c>
      <c r="SW2" s="55" t="s">
        <v>2174</v>
      </c>
      <c r="SX2" s="55" t="s">
        <v>2174</v>
      </c>
      <c r="SY2" s="55" t="s">
        <v>2174</v>
      </c>
      <c r="SZ2" s="55" t="s">
        <v>2174</v>
      </c>
      <c r="TA2" s="55" t="s">
        <v>2174</v>
      </c>
      <c r="TB2" s="55" t="s">
        <v>2174</v>
      </c>
      <c r="TC2" s="55" t="s">
        <v>2174</v>
      </c>
      <c r="TD2" s="55" t="s">
        <v>2174</v>
      </c>
      <c r="TE2" s="55" t="s">
        <v>2174</v>
      </c>
      <c r="TF2" s="55" t="s">
        <v>2174</v>
      </c>
      <c r="TG2" s="55" t="s">
        <v>2174</v>
      </c>
      <c r="TH2" s="55" t="s">
        <v>2174</v>
      </c>
      <c r="TI2" s="55" t="s">
        <v>2174</v>
      </c>
      <c r="TJ2" s="55" t="s">
        <v>2174</v>
      </c>
      <c r="TK2" s="55" t="s">
        <v>2174</v>
      </c>
      <c r="TL2" s="55" t="s">
        <v>2174</v>
      </c>
      <c r="TM2" s="55" t="s">
        <v>2174</v>
      </c>
      <c r="TN2" s="55" t="s">
        <v>2174</v>
      </c>
      <c r="TO2" s="55" t="s">
        <v>2174</v>
      </c>
      <c r="TP2" s="55" t="s">
        <v>2174</v>
      </c>
      <c r="TQ2" s="55" t="s">
        <v>2174</v>
      </c>
      <c r="TR2" s="55" t="s">
        <v>2174</v>
      </c>
      <c r="TS2" s="55" t="s">
        <v>2174</v>
      </c>
      <c r="TT2" s="55" t="s">
        <v>2174</v>
      </c>
      <c r="TU2" s="55" t="s">
        <v>2174</v>
      </c>
      <c r="TV2" s="55" t="s">
        <v>2174</v>
      </c>
      <c r="TW2" s="55" t="s">
        <v>2174</v>
      </c>
      <c r="TX2" s="55" t="s">
        <v>2174</v>
      </c>
      <c r="TY2" s="55" t="s">
        <v>2174</v>
      </c>
      <c r="TZ2" s="55" t="s">
        <v>2174</v>
      </c>
      <c r="UA2" s="55" t="s">
        <v>2174</v>
      </c>
      <c r="UB2" s="55" t="s">
        <v>2174</v>
      </c>
      <c r="UC2" s="55" t="s">
        <v>2174</v>
      </c>
      <c r="UD2" s="55" t="s">
        <v>2174</v>
      </c>
      <c r="UE2" s="55" t="s">
        <v>2174</v>
      </c>
      <c r="UF2" s="55" t="s">
        <v>2174</v>
      </c>
      <c r="UG2" s="55" t="s">
        <v>2174</v>
      </c>
      <c r="UH2" s="55" t="s">
        <v>2174</v>
      </c>
      <c r="UI2" s="55" t="s">
        <v>2174</v>
      </c>
      <c r="UJ2" s="55" t="s">
        <v>2174</v>
      </c>
      <c r="UK2" s="55" t="s">
        <v>2174</v>
      </c>
      <c r="UL2" s="55" t="s">
        <v>2174</v>
      </c>
      <c r="UM2" s="55" t="s">
        <v>2174</v>
      </c>
      <c r="UN2" s="55" t="s">
        <v>2174</v>
      </c>
      <c r="UO2" s="55" t="s">
        <v>2174</v>
      </c>
      <c r="UP2" s="55" t="s">
        <v>2174</v>
      </c>
      <c r="UQ2" s="55" t="s">
        <v>2174</v>
      </c>
      <c r="UR2" s="55" t="s">
        <v>2174</v>
      </c>
      <c r="US2" s="55" t="s">
        <v>2174</v>
      </c>
      <c r="UT2" s="55" t="s">
        <v>2174</v>
      </c>
      <c r="UU2" s="55" t="s">
        <v>2174</v>
      </c>
      <c r="UV2" s="55" t="s">
        <v>2174</v>
      </c>
      <c r="UW2" s="55" t="s">
        <v>2174</v>
      </c>
      <c r="UX2" s="55" t="s">
        <v>2174</v>
      </c>
      <c r="UY2" s="55" t="s">
        <v>2174</v>
      </c>
      <c r="UZ2" s="55" t="s">
        <v>2174</v>
      </c>
      <c r="VA2" s="55" t="s">
        <v>2174</v>
      </c>
      <c r="VB2" s="55" t="s">
        <v>2174</v>
      </c>
      <c r="VC2" s="55" t="s">
        <v>2174</v>
      </c>
      <c r="VD2" s="55" t="s">
        <v>2174</v>
      </c>
      <c r="VE2" s="55" t="s">
        <v>2174</v>
      </c>
      <c r="VF2" s="55" t="s">
        <v>2174</v>
      </c>
      <c r="VG2" s="55" t="s">
        <v>2174</v>
      </c>
      <c r="VH2" s="55" t="s">
        <v>2174</v>
      </c>
      <c r="VI2" s="55" t="s">
        <v>2174</v>
      </c>
      <c r="VJ2" s="55" t="s">
        <v>2174</v>
      </c>
      <c r="VK2" s="55" t="s">
        <v>2174</v>
      </c>
      <c r="VL2" s="55" t="s">
        <v>2174</v>
      </c>
      <c r="VM2" s="55" t="s">
        <v>2174</v>
      </c>
      <c r="VN2" s="55" t="s">
        <v>2174</v>
      </c>
      <c r="VO2" s="55" t="s">
        <v>2174</v>
      </c>
      <c r="VP2" s="55" t="s">
        <v>2174</v>
      </c>
      <c r="VQ2" s="55" t="s">
        <v>2174</v>
      </c>
      <c r="VR2" s="55" t="s">
        <v>2174</v>
      </c>
      <c r="VS2" s="55" t="s">
        <v>2174</v>
      </c>
      <c r="VT2" s="55" t="s">
        <v>2174</v>
      </c>
      <c r="VU2" s="55" t="s">
        <v>2174</v>
      </c>
      <c r="VV2" s="55" t="s">
        <v>2174</v>
      </c>
      <c r="VW2" s="55" t="s">
        <v>2174</v>
      </c>
      <c r="VX2" s="55" t="s">
        <v>2174</v>
      </c>
      <c r="VY2" s="55" t="s">
        <v>2174</v>
      </c>
      <c r="VZ2" s="55" t="s">
        <v>2174</v>
      </c>
      <c r="WA2" s="55" t="s">
        <v>2174</v>
      </c>
      <c r="WB2" s="55" t="s">
        <v>2174</v>
      </c>
      <c r="WC2" s="55" t="s">
        <v>2174</v>
      </c>
      <c r="WD2" s="55" t="s">
        <v>2174</v>
      </c>
      <c r="WE2" s="55" t="s">
        <v>2174</v>
      </c>
      <c r="WF2" s="55" t="s">
        <v>2174</v>
      </c>
      <c r="WG2" s="55" t="s">
        <v>2174</v>
      </c>
      <c r="WH2" s="55" t="s">
        <v>2174</v>
      </c>
      <c r="WI2" s="55" t="s">
        <v>2174</v>
      </c>
      <c r="WJ2" s="55" t="s">
        <v>2174</v>
      </c>
      <c r="WK2" s="55" t="s">
        <v>2174</v>
      </c>
      <c r="WL2" s="55" t="s">
        <v>2174</v>
      </c>
      <c r="WM2" s="55" t="s">
        <v>2174</v>
      </c>
      <c r="WN2" s="55" t="s">
        <v>2174</v>
      </c>
      <c r="WO2" s="55" t="s">
        <v>2174</v>
      </c>
      <c r="WP2" s="55" t="s">
        <v>2174</v>
      </c>
      <c r="WQ2" s="55" t="s">
        <v>2174</v>
      </c>
      <c r="WR2" s="55" t="s">
        <v>2174</v>
      </c>
      <c r="WS2" s="55" t="s">
        <v>2174</v>
      </c>
      <c r="WT2" s="55" t="s">
        <v>2174</v>
      </c>
      <c r="WU2" s="55" t="s">
        <v>2174</v>
      </c>
      <c r="WV2" s="55" t="s">
        <v>2174</v>
      </c>
      <c r="WW2" s="55" t="s">
        <v>2174</v>
      </c>
      <c r="WX2" s="55" t="s">
        <v>2174</v>
      </c>
      <c r="WY2" s="55" t="s">
        <v>2174</v>
      </c>
      <c r="WZ2" s="55" t="s">
        <v>2174</v>
      </c>
      <c r="XA2" s="55" t="s">
        <v>2174</v>
      </c>
      <c r="XB2" s="55" t="s">
        <v>2174</v>
      </c>
      <c r="XC2" s="55" t="s">
        <v>2174</v>
      </c>
      <c r="XD2" s="55" t="s">
        <v>2174</v>
      </c>
      <c r="XE2" s="55" t="s">
        <v>2174</v>
      </c>
      <c r="XF2" s="55" t="s">
        <v>2174</v>
      </c>
      <c r="XG2" s="55" t="s">
        <v>2174</v>
      </c>
      <c r="XH2" s="55" t="s">
        <v>2174</v>
      </c>
      <c r="XI2" s="55" t="s">
        <v>2174</v>
      </c>
      <c r="XJ2" s="55" t="s">
        <v>2174</v>
      </c>
      <c r="XK2" s="55" t="s">
        <v>2174</v>
      </c>
      <c r="XL2" s="55" t="s">
        <v>2174</v>
      </c>
      <c r="XM2" s="55" t="s">
        <v>2174</v>
      </c>
      <c r="XN2" s="55" t="s">
        <v>2174</v>
      </c>
      <c r="XO2" s="55" t="s">
        <v>2174</v>
      </c>
      <c r="XP2" s="55" t="s">
        <v>2174</v>
      </c>
      <c r="XQ2" s="55" t="s">
        <v>2174</v>
      </c>
      <c r="XR2" s="55" t="s">
        <v>2174</v>
      </c>
      <c r="XS2" s="55" t="s">
        <v>2174</v>
      </c>
      <c r="XT2" s="55" t="s">
        <v>2174</v>
      </c>
      <c r="XU2" s="55" t="s">
        <v>2174</v>
      </c>
      <c r="XV2" s="55" t="s">
        <v>2174</v>
      </c>
      <c r="XW2" s="55" t="s">
        <v>2174</v>
      </c>
      <c r="XX2" s="55" t="s">
        <v>2174</v>
      </c>
      <c r="XY2" s="55" t="s">
        <v>2174</v>
      </c>
      <c r="XZ2" s="55" t="s">
        <v>2174</v>
      </c>
      <c r="YA2" s="55" t="s">
        <v>2174</v>
      </c>
      <c r="YB2" s="55" t="s">
        <v>2174</v>
      </c>
      <c r="YC2" s="55" t="s">
        <v>2174</v>
      </c>
      <c r="YD2" s="55" t="s">
        <v>2174</v>
      </c>
      <c r="YE2" s="55" t="s">
        <v>2174</v>
      </c>
      <c r="YF2" s="55" t="s">
        <v>2174</v>
      </c>
      <c r="YG2" s="55" t="s">
        <v>2174</v>
      </c>
      <c r="YH2" s="55" t="s">
        <v>2174</v>
      </c>
      <c r="YI2" s="55" t="s">
        <v>2174</v>
      </c>
      <c r="YJ2" s="55" t="s">
        <v>2174</v>
      </c>
      <c r="YK2" s="55" t="s">
        <v>2174</v>
      </c>
      <c r="YL2" s="55" t="s">
        <v>2174</v>
      </c>
      <c r="YM2" s="55" t="s">
        <v>2174</v>
      </c>
      <c r="YN2" s="55" t="s">
        <v>2174</v>
      </c>
      <c r="YO2" s="55" t="s">
        <v>2174</v>
      </c>
      <c r="YP2" s="55" t="s">
        <v>2174</v>
      </c>
      <c r="YQ2" s="55" t="s">
        <v>2174</v>
      </c>
      <c r="YR2" s="55" t="s">
        <v>2174</v>
      </c>
      <c r="YS2" s="55" t="s">
        <v>2174</v>
      </c>
      <c r="YT2" s="55" t="s">
        <v>2174</v>
      </c>
      <c r="YU2" s="55" t="s">
        <v>2174</v>
      </c>
      <c r="YV2" s="55" t="s">
        <v>2174</v>
      </c>
      <c r="YW2" s="55" t="s">
        <v>2174</v>
      </c>
      <c r="YX2" s="55" t="s">
        <v>2174</v>
      </c>
      <c r="YY2" s="55" t="s">
        <v>2174</v>
      </c>
      <c r="YZ2" s="55" t="s">
        <v>2174</v>
      </c>
      <c r="ZA2" s="55" t="s">
        <v>2174</v>
      </c>
      <c r="ZB2" s="55" t="s">
        <v>2174</v>
      </c>
      <c r="ZC2" s="55" t="s">
        <v>2174</v>
      </c>
      <c r="ZD2" s="55" t="s">
        <v>2174</v>
      </c>
      <c r="ZE2" s="55" t="s">
        <v>2174</v>
      </c>
      <c r="ZF2" s="55" t="s">
        <v>2174</v>
      </c>
      <c r="ZG2" s="55" t="s">
        <v>2174</v>
      </c>
      <c r="ZH2" s="55" t="s">
        <v>2174</v>
      </c>
      <c r="ZI2" s="55" t="s">
        <v>2174</v>
      </c>
      <c r="ZJ2" s="55" t="s">
        <v>2174</v>
      </c>
      <c r="ZK2" s="55" t="s">
        <v>2174</v>
      </c>
      <c r="ZL2" s="55" t="s">
        <v>2174</v>
      </c>
      <c r="ZM2" s="55" t="s">
        <v>2174</v>
      </c>
      <c r="ZN2" s="55" t="s">
        <v>2174</v>
      </c>
      <c r="ZO2" s="55" t="s">
        <v>2174</v>
      </c>
      <c r="ZP2" s="55" t="s">
        <v>2174</v>
      </c>
      <c r="ZQ2" s="55" t="s">
        <v>2174</v>
      </c>
      <c r="ZR2" s="55" t="s">
        <v>2174</v>
      </c>
      <c r="ZS2" s="55" t="s">
        <v>2174</v>
      </c>
      <c r="ZT2" s="55" t="s">
        <v>2174</v>
      </c>
      <c r="ZU2" s="55" t="s">
        <v>2174</v>
      </c>
      <c r="ZV2" s="55" t="s">
        <v>2174</v>
      </c>
      <c r="ZW2" s="55" t="s">
        <v>2174</v>
      </c>
      <c r="ZX2" s="55" t="s">
        <v>2174</v>
      </c>
      <c r="ZY2" s="55" t="s">
        <v>2174</v>
      </c>
      <c r="ZZ2" s="55" t="s">
        <v>2174</v>
      </c>
      <c r="AAA2" s="55" t="s">
        <v>2174</v>
      </c>
      <c r="AAB2" s="55" t="s">
        <v>2174</v>
      </c>
      <c r="AAC2" s="55" t="s">
        <v>2174</v>
      </c>
      <c r="AAD2" s="55" t="s">
        <v>2174</v>
      </c>
      <c r="AAE2" s="55" t="s">
        <v>2174</v>
      </c>
      <c r="AAF2" s="55" t="s">
        <v>2174</v>
      </c>
      <c r="AAG2" s="55" t="s">
        <v>2174</v>
      </c>
      <c r="AAH2" s="55" t="s">
        <v>2174</v>
      </c>
      <c r="AAI2" s="55" t="s">
        <v>2174</v>
      </c>
      <c r="AAJ2" s="55" t="s">
        <v>2174</v>
      </c>
      <c r="AAK2" s="55" t="s">
        <v>2174</v>
      </c>
      <c r="AAL2" s="55" t="s">
        <v>2174</v>
      </c>
      <c r="AAM2" s="55" t="s">
        <v>2174</v>
      </c>
      <c r="AAN2" s="55" t="s">
        <v>2174</v>
      </c>
      <c r="AAO2" s="55" t="s">
        <v>2174</v>
      </c>
      <c r="AAP2" s="55" t="s">
        <v>2174</v>
      </c>
      <c r="AAQ2" s="55" t="s">
        <v>2174</v>
      </c>
      <c r="AAR2" s="55" t="s">
        <v>2174</v>
      </c>
      <c r="AAS2" s="55" t="s">
        <v>2174</v>
      </c>
      <c r="AAT2" s="55" t="s">
        <v>2174</v>
      </c>
      <c r="AAU2" s="55" t="s">
        <v>2174</v>
      </c>
      <c r="AAV2" s="55" t="s">
        <v>2174</v>
      </c>
      <c r="AAW2" s="55" t="s">
        <v>2174</v>
      </c>
      <c r="AAX2" s="55" t="s">
        <v>2174</v>
      </c>
      <c r="AAY2" s="55" t="s">
        <v>2174</v>
      </c>
      <c r="AAZ2" s="55" t="s">
        <v>2174</v>
      </c>
      <c r="ABA2" s="55" t="s">
        <v>2174</v>
      </c>
      <c r="ABB2" s="55" t="s">
        <v>2174</v>
      </c>
      <c r="ABC2" s="55" t="s">
        <v>2174</v>
      </c>
      <c r="ABD2" s="55" t="s">
        <v>2174</v>
      </c>
      <c r="ABE2" s="55" t="s">
        <v>2174</v>
      </c>
      <c r="ABF2" s="55" t="s">
        <v>2174</v>
      </c>
      <c r="ABG2" s="55" t="s">
        <v>2174</v>
      </c>
      <c r="ABH2" s="55" t="s">
        <v>2174</v>
      </c>
      <c r="ABI2" s="55" t="s">
        <v>2174</v>
      </c>
      <c r="ABJ2" s="55" t="s">
        <v>2174</v>
      </c>
      <c r="ABK2" s="55" t="s">
        <v>2174</v>
      </c>
      <c r="ABL2" s="55" t="s">
        <v>2174</v>
      </c>
      <c r="ABM2" s="55" t="s">
        <v>2174</v>
      </c>
      <c r="ABN2" s="55" t="s">
        <v>2174</v>
      </c>
      <c r="ABO2" s="55" t="s">
        <v>2174</v>
      </c>
      <c r="ABP2" s="55" t="s">
        <v>2174</v>
      </c>
      <c r="ABQ2" s="55" t="s">
        <v>2174</v>
      </c>
      <c r="ABR2" s="55" t="s">
        <v>2174</v>
      </c>
      <c r="ABS2" s="55" t="s">
        <v>2174</v>
      </c>
      <c r="ABT2" s="55" t="s">
        <v>2174</v>
      </c>
      <c r="ABU2" s="55" t="s">
        <v>2174</v>
      </c>
      <c r="ABV2" s="55" t="s">
        <v>2174</v>
      </c>
      <c r="ABW2" s="55" t="s">
        <v>2174</v>
      </c>
      <c r="ABX2" s="55" t="s">
        <v>2174</v>
      </c>
      <c r="ABY2" s="55" t="s">
        <v>2174</v>
      </c>
      <c r="ABZ2" s="55" t="s">
        <v>2174</v>
      </c>
      <c r="ACA2" s="55" t="s">
        <v>2174</v>
      </c>
      <c r="ACB2" s="55" t="s">
        <v>2174</v>
      </c>
      <c r="ACC2" s="55" t="s">
        <v>2174</v>
      </c>
      <c r="ACD2" s="55" t="s">
        <v>2174</v>
      </c>
      <c r="ACE2" s="55" t="s">
        <v>2174</v>
      </c>
      <c r="ACF2" s="55" t="s">
        <v>2174</v>
      </c>
      <c r="ACG2" s="55" t="s">
        <v>2174</v>
      </c>
      <c r="ACH2" s="55" t="s">
        <v>2174</v>
      </c>
      <c r="ACI2" s="55" t="s">
        <v>2174</v>
      </c>
      <c r="ACJ2" s="55" t="s">
        <v>2174</v>
      </c>
      <c r="ACK2" s="55" t="s">
        <v>2174</v>
      </c>
      <c r="ACL2" s="55" t="s">
        <v>2174</v>
      </c>
      <c r="ACM2" s="55" t="s">
        <v>2174</v>
      </c>
      <c r="ACN2" s="55" t="s">
        <v>2174</v>
      </c>
      <c r="ACO2" s="55" t="s">
        <v>2174</v>
      </c>
      <c r="ACP2" s="55" t="s">
        <v>2174</v>
      </c>
      <c r="ACQ2" s="55" t="s">
        <v>2174</v>
      </c>
      <c r="ACR2" s="55" t="s">
        <v>2174</v>
      </c>
      <c r="ACS2" s="55" t="s">
        <v>2174</v>
      </c>
      <c r="ACT2" s="55" t="s">
        <v>2174</v>
      </c>
      <c r="ACU2" s="55" t="s">
        <v>2174</v>
      </c>
      <c r="ACV2" s="55" t="s">
        <v>2174</v>
      </c>
      <c r="ACW2" s="55" t="s">
        <v>2174</v>
      </c>
      <c r="ACX2" s="55" t="s">
        <v>2174</v>
      </c>
      <c r="ACY2" s="55" t="s">
        <v>2174</v>
      </c>
      <c r="ACZ2" s="55" t="s">
        <v>2174</v>
      </c>
      <c r="ADA2" s="55" t="s">
        <v>2174</v>
      </c>
      <c r="ADB2" s="55" t="s">
        <v>2174</v>
      </c>
      <c r="ADC2" s="55" t="s">
        <v>2174</v>
      </c>
      <c r="ADD2" s="55" t="s">
        <v>2174</v>
      </c>
      <c r="ADE2" s="55" t="s">
        <v>2174</v>
      </c>
      <c r="ADF2" s="55" t="s">
        <v>2174</v>
      </c>
      <c r="ADG2" s="55" t="s">
        <v>2174</v>
      </c>
      <c r="ADH2" s="55" t="s">
        <v>2174</v>
      </c>
      <c r="ADI2" s="55" t="s">
        <v>2174</v>
      </c>
      <c r="ADJ2" s="55" t="s">
        <v>2174</v>
      </c>
      <c r="ADK2" s="55" t="s">
        <v>2174</v>
      </c>
      <c r="ADL2" s="55" t="s">
        <v>2174</v>
      </c>
      <c r="ADM2" s="55" t="s">
        <v>2174</v>
      </c>
      <c r="ADN2" s="55" t="s">
        <v>2174</v>
      </c>
      <c r="ADO2" s="55" t="s">
        <v>2174</v>
      </c>
      <c r="ADP2" s="55" t="s">
        <v>2174</v>
      </c>
      <c r="ADQ2" s="55" t="s">
        <v>2174</v>
      </c>
      <c r="ADR2" s="55" t="s">
        <v>2174</v>
      </c>
      <c r="ADS2" s="55" t="s">
        <v>2174</v>
      </c>
      <c r="ADT2" s="55" t="s">
        <v>2174</v>
      </c>
      <c r="ADU2" s="55" t="s">
        <v>2174</v>
      </c>
      <c r="ADV2" s="55" t="s">
        <v>2174</v>
      </c>
      <c r="ADW2" s="55" t="s">
        <v>2174</v>
      </c>
      <c r="ADX2" s="55" t="s">
        <v>2174</v>
      </c>
      <c r="ADY2" s="55" t="s">
        <v>2174</v>
      </c>
      <c r="ADZ2" s="55" t="s">
        <v>2174</v>
      </c>
      <c r="AEA2" s="55" t="s">
        <v>2174</v>
      </c>
      <c r="AEB2" s="55" t="s">
        <v>2174</v>
      </c>
      <c r="AEC2" s="55" t="s">
        <v>2174</v>
      </c>
      <c r="AED2" s="55" t="s">
        <v>2174</v>
      </c>
      <c r="AEE2" s="55" t="s">
        <v>2174</v>
      </c>
      <c r="AEF2" s="55" t="s">
        <v>2174</v>
      </c>
      <c r="AEG2" s="55" t="s">
        <v>2174</v>
      </c>
      <c r="AEH2" s="55" t="s">
        <v>2174</v>
      </c>
      <c r="AEI2" s="55" t="s">
        <v>2174</v>
      </c>
      <c r="AEJ2" s="55" t="s">
        <v>2174</v>
      </c>
      <c r="AEK2" s="55" t="s">
        <v>2174</v>
      </c>
      <c r="AEL2" s="55" t="s">
        <v>2174</v>
      </c>
      <c r="AEM2" s="55" t="s">
        <v>2174</v>
      </c>
      <c r="AEN2" s="55" t="s">
        <v>2174</v>
      </c>
      <c r="AEO2" s="55" t="s">
        <v>2174</v>
      </c>
      <c r="AEP2" s="55" t="s">
        <v>2174</v>
      </c>
      <c r="AEQ2" s="55" t="s">
        <v>2174</v>
      </c>
      <c r="AER2" s="55" t="s">
        <v>2174</v>
      </c>
      <c r="AES2" s="55" t="s">
        <v>2174</v>
      </c>
      <c r="AET2" s="55" t="s">
        <v>2174</v>
      </c>
      <c r="AEU2" s="55" t="s">
        <v>2174</v>
      </c>
      <c r="AEV2" s="55" t="s">
        <v>2174</v>
      </c>
      <c r="AEW2" s="55" t="s">
        <v>2174</v>
      </c>
      <c r="AEX2" s="55" t="s">
        <v>2174</v>
      </c>
      <c r="AEY2" s="55" t="s">
        <v>2174</v>
      </c>
      <c r="AEZ2" s="55" t="s">
        <v>2174</v>
      </c>
      <c r="AFA2" s="55" t="s">
        <v>2174</v>
      </c>
      <c r="AFB2" s="55" t="s">
        <v>2174</v>
      </c>
      <c r="AFC2" s="55" t="s">
        <v>2174</v>
      </c>
      <c r="AFD2" s="55" t="s">
        <v>2174</v>
      </c>
      <c r="AFE2" s="55" t="s">
        <v>2174</v>
      </c>
      <c r="AFF2" s="55" t="s">
        <v>2174</v>
      </c>
      <c r="AFG2" s="55" t="s">
        <v>2174</v>
      </c>
      <c r="AFH2" s="55" t="s">
        <v>2174</v>
      </c>
      <c r="AFI2" s="55" t="s">
        <v>2174</v>
      </c>
      <c r="AFJ2" s="55" t="s">
        <v>2174</v>
      </c>
      <c r="AFK2" s="55" t="s">
        <v>2174</v>
      </c>
      <c r="AFL2" s="55" t="s">
        <v>2174</v>
      </c>
      <c r="AFM2" s="55" t="s">
        <v>2174</v>
      </c>
      <c r="AFN2" s="55" t="s">
        <v>2174</v>
      </c>
      <c r="AFO2" s="55" t="s">
        <v>2174</v>
      </c>
      <c r="AFP2" s="55" t="s">
        <v>2174</v>
      </c>
      <c r="AFQ2" s="55" t="s">
        <v>2174</v>
      </c>
      <c r="AFR2" s="55" t="s">
        <v>2174</v>
      </c>
      <c r="AFS2" s="55" t="s">
        <v>2174</v>
      </c>
      <c r="AFT2" s="55" t="s">
        <v>2174</v>
      </c>
      <c r="AFU2" s="55" t="s">
        <v>2174</v>
      </c>
      <c r="AFV2" s="55" t="s">
        <v>2174</v>
      </c>
      <c r="AFW2" s="55" t="s">
        <v>2174</v>
      </c>
      <c r="AFX2" s="55" t="s">
        <v>2174</v>
      </c>
      <c r="AFY2" s="55" t="s">
        <v>2174</v>
      </c>
      <c r="AFZ2" s="55" t="s">
        <v>2174</v>
      </c>
      <c r="AGA2" s="55" t="s">
        <v>2174</v>
      </c>
      <c r="AGB2" s="55" t="s">
        <v>2174</v>
      </c>
      <c r="AGC2" s="55" t="s">
        <v>2174</v>
      </c>
      <c r="AGD2" s="55" t="s">
        <v>2174</v>
      </c>
      <c r="AGE2" s="55" t="s">
        <v>2174</v>
      </c>
      <c r="AGF2" s="55" t="s">
        <v>2174</v>
      </c>
      <c r="AGG2" s="55" t="s">
        <v>2174</v>
      </c>
      <c r="AGH2" s="55" t="s">
        <v>2174</v>
      </c>
      <c r="AGI2" s="55" t="s">
        <v>2174</v>
      </c>
      <c r="AGJ2" s="55" t="s">
        <v>2174</v>
      </c>
      <c r="AGK2" s="55" t="s">
        <v>2174</v>
      </c>
      <c r="AGL2" s="55" t="s">
        <v>2174</v>
      </c>
      <c r="AGM2" s="55" t="s">
        <v>2174</v>
      </c>
      <c r="AGN2" s="55" t="s">
        <v>2174</v>
      </c>
      <c r="AGO2" s="55" t="s">
        <v>2174</v>
      </c>
      <c r="AGP2" s="55" t="s">
        <v>2174</v>
      </c>
      <c r="AGQ2" s="55" t="s">
        <v>2174</v>
      </c>
      <c r="AGR2" s="55" t="s">
        <v>2174</v>
      </c>
      <c r="AGS2" s="55" t="s">
        <v>2174</v>
      </c>
      <c r="AGT2" s="55" t="s">
        <v>2174</v>
      </c>
      <c r="AGU2" s="55" t="s">
        <v>2174</v>
      </c>
      <c r="AGV2" s="55" t="s">
        <v>2174</v>
      </c>
      <c r="AGW2" s="55" t="s">
        <v>2174</v>
      </c>
      <c r="AGX2" s="55" t="s">
        <v>2174</v>
      </c>
      <c r="AGY2" s="55" t="s">
        <v>2174</v>
      </c>
      <c r="AGZ2" s="55" t="s">
        <v>2174</v>
      </c>
      <c r="AHA2" s="55" t="s">
        <v>2174</v>
      </c>
      <c r="AHB2" s="55" t="s">
        <v>2174</v>
      </c>
      <c r="AHC2" s="55" t="s">
        <v>2174</v>
      </c>
      <c r="AHD2" s="55" t="s">
        <v>2174</v>
      </c>
      <c r="AHE2" s="55" t="s">
        <v>2174</v>
      </c>
      <c r="AHF2" s="55" t="s">
        <v>2174</v>
      </c>
      <c r="AHG2" s="55" t="s">
        <v>2174</v>
      </c>
      <c r="AHH2" s="55" t="s">
        <v>2174</v>
      </c>
      <c r="AHI2" s="55" t="s">
        <v>2174</v>
      </c>
      <c r="AHJ2" s="55" t="s">
        <v>2174</v>
      </c>
      <c r="AHK2" s="55" t="s">
        <v>2174</v>
      </c>
      <c r="AHL2" s="55" t="s">
        <v>2174</v>
      </c>
      <c r="AHM2" s="55" t="s">
        <v>2174</v>
      </c>
      <c r="AHN2" s="55" t="s">
        <v>2174</v>
      </c>
      <c r="AHO2" s="55" t="s">
        <v>2174</v>
      </c>
      <c r="AHP2" s="55" t="s">
        <v>2174</v>
      </c>
      <c r="AHQ2" s="55" t="s">
        <v>2174</v>
      </c>
      <c r="AHR2" s="55" t="s">
        <v>2174</v>
      </c>
      <c r="AHS2" s="55" t="s">
        <v>2174</v>
      </c>
      <c r="AHT2" s="55" t="s">
        <v>2174</v>
      </c>
      <c r="AHU2" s="55" t="s">
        <v>2174</v>
      </c>
      <c r="AHV2" s="55" t="s">
        <v>2174</v>
      </c>
      <c r="AHW2" s="55" t="s">
        <v>2174</v>
      </c>
      <c r="AHX2" s="55" t="s">
        <v>2174</v>
      </c>
      <c r="AHY2" s="55" t="s">
        <v>2174</v>
      </c>
      <c r="AHZ2" s="55" t="s">
        <v>2174</v>
      </c>
      <c r="AIA2" s="55" t="s">
        <v>2174</v>
      </c>
      <c r="AIB2" s="55" t="s">
        <v>2174</v>
      </c>
      <c r="AIC2" s="55" t="s">
        <v>2174</v>
      </c>
      <c r="AID2" s="55" t="s">
        <v>2174</v>
      </c>
      <c r="AIE2" s="55" t="s">
        <v>2174</v>
      </c>
      <c r="AIF2" s="55" t="s">
        <v>2174</v>
      </c>
      <c r="AIG2" s="55" t="s">
        <v>2174</v>
      </c>
      <c r="AIH2" s="55" t="s">
        <v>2174</v>
      </c>
      <c r="AII2" s="55" t="s">
        <v>2174</v>
      </c>
      <c r="AIJ2" s="55" t="s">
        <v>2174</v>
      </c>
      <c r="AIK2" s="55" t="s">
        <v>2174</v>
      </c>
      <c r="AIL2" s="55" t="s">
        <v>2174</v>
      </c>
      <c r="AIM2" s="55" t="s">
        <v>2174</v>
      </c>
      <c r="AIN2" s="55" t="s">
        <v>2174</v>
      </c>
      <c r="AIO2" s="55" t="s">
        <v>2174</v>
      </c>
      <c r="AIP2" s="55" t="s">
        <v>2174</v>
      </c>
      <c r="AIQ2" s="55" t="s">
        <v>2174</v>
      </c>
      <c r="AIR2" s="55" t="s">
        <v>2174</v>
      </c>
      <c r="AIS2" s="55" t="s">
        <v>2174</v>
      </c>
      <c r="AIT2" s="55" t="s">
        <v>2174</v>
      </c>
      <c r="AIU2" s="55" t="s">
        <v>2174</v>
      </c>
      <c r="AIV2" s="55" t="s">
        <v>2174</v>
      </c>
      <c r="AIW2" s="55" t="s">
        <v>2174</v>
      </c>
      <c r="AIX2" s="55" t="s">
        <v>2174</v>
      </c>
      <c r="AIY2" s="55" t="s">
        <v>2174</v>
      </c>
      <c r="AIZ2" s="55" t="s">
        <v>2174</v>
      </c>
      <c r="AJA2" s="55" t="s">
        <v>2174</v>
      </c>
      <c r="AJB2" s="55" t="s">
        <v>2174</v>
      </c>
      <c r="AJC2" s="55" t="s">
        <v>2174</v>
      </c>
      <c r="AJD2" s="55" t="s">
        <v>2174</v>
      </c>
      <c r="AJE2" s="55" t="s">
        <v>2174</v>
      </c>
      <c r="AJF2" s="55" t="s">
        <v>2174</v>
      </c>
      <c r="AJG2" s="55" t="s">
        <v>2174</v>
      </c>
      <c r="AJH2" s="55" t="s">
        <v>2174</v>
      </c>
      <c r="AJI2" s="55" t="s">
        <v>2174</v>
      </c>
      <c r="AJJ2" s="55" t="s">
        <v>2174</v>
      </c>
      <c r="AJK2" s="55" t="s">
        <v>2174</v>
      </c>
      <c r="AJL2" s="55" t="s">
        <v>2174</v>
      </c>
      <c r="AJM2" s="55" t="s">
        <v>2174</v>
      </c>
      <c r="AJN2" s="55" t="s">
        <v>2174</v>
      </c>
      <c r="AJO2" s="55" t="s">
        <v>2174</v>
      </c>
      <c r="AJP2" s="55" t="s">
        <v>2174</v>
      </c>
      <c r="AJQ2" s="55" t="s">
        <v>2174</v>
      </c>
      <c r="AJR2" s="55" t="s">
        <v>2174</v>
      </c>
      <c r="AJS2" s="55" t="s">
        <v>2174</v>
      </c>
      <c r="AJT2" s="55" t="s">
        <v>2174</v>
      </c>
      <c r="AJU2" s="55" t="s">
        <v>2174</v>
      </c>
      <c r="AJV2" s="55" t="s">
        <v>2174</v>
      </c>
      <c r="AJW2" s="55" t="s">
        <v>2174</v>
      </c>
      <c r="AJX2" s="55" t="s">
        <v>2174</v>
      </c>
      <c r="AJY2" s="55" t="s">
        <v>2174</v>
      </c>
      <c r="AJZ2" s="55" t="s">
        <v>2174</v>
      </c>
      <c r="AKA2" s="55" t="s">
        <v>2174</v>
      </c>
      <c r="AKB2" s="55" t="s">
        <v>2174</v>
      </c>
      <c r="AKC2" s="55" t="s">
        <v>2174</v>
      </c>
      <c r="AKD2" s="55" t="s">
        <v>2174</v>
      </c>
      <c r="AKE2" s="55" t="s">
        <v>2174</v>
      </c>
      <c r="AKF2" s="55" t="s">
        <v>2174</v>
      </c>
      <c r="AKG2" s="55" t="s">
        <v>2174</v>
      </c>
      <c r="AKH2" s="55" t="s">
        <v>2174</v>
      </c>
      <c r="AKI2" s="55" t="s">
        <v>2174</v>
      </c>
      <c r="AKJ2" s="55" t="s">
        <v>2174</v>
      </c>
      <c r="AKK2" s="55" t="s">
        <v>2174</v>
      </c>
      <c r="AKL2" s="55" t="s">
        <v>2174</v>
      </c>
      <c r="AKM2" s="55" t="s">
        <v>2174</v>
      </c>
      <c r="AKN2" s="55" t="s">
        <v>2174</v>
      </c>
      <c r="AKO2" s="55" t="s">
        <v>2174</v>
      </c>
      <c r="AKP2" s="55" t="s">
        <v>2174</v>
      </c>
      <c r="AKQ2" s="55" t="s">
        <v>2174</v>
      </c>
      <c r="AKR2" s="55" t="s">
        <v>2174</v>
      </c>
      <c r="AKS2" s="55" t="s">
        <v>2174</v>
      </c>
      <c r="AKT2" s="55" t="s">
        <v>2174</v>
      </c>
      <c r="AKU2" s="55" t="s">
        <v>2174</v>
      </c>
      <c r="AKV2" s="55" t="s">
        <v>2174</v>
      </c>
      <c r="AKW2" s="55" t="s">
        <v>2174</v>
      </c>
      <c r="AKX2" s="55" t="s">
        <v>2174</v>
      </c>
      <c r="AKY2" s="55" t="s">
        <v>2174</v>
      </c>
      <c r="AKZ2" s="55" t="s">
        <v>2174</v>
      </c>
      <c r="ALA2" s="55" t="s">
        <v>2174</v>
      </c>
      <c r="ALB2" s="55" t="s">
        <v>2174</v>
      </c>
      <c r="ALC2" s="55" t="s">
        <v>2174</v>
      </c>
      <c r="ALD2" s="55" t="s">
        <v>2174</v>
      </c>
      <c r="ALE2" s="55" t="s">
        <v>2174</v>
      </c>
      <c r="ALF2" s="55" t="s">
        <v>2174</v>
      </c>
      <c r="ALG2" s="55" t="s">
        <v>2174</v>
      </c>
      <c r="ALH2" s="55" t="s">
        <v>2174</v>
      </c>
      <c r="ALI2" s="55" t="s">
        <v>2174</v>
      </c>
      <c r="ALJ2" s="55" t="s">
        <v>2174</v>
      </c>
      <c r="ALK2" s="55" t="s">
        <v>2174</v>
      </c>
      <c r="ALL2" s="55" t="s">
        <v>2174</v>
      </c>
      <c r="ALM2" s="55" t="s">
        <v>2174</v>
      </c>
      <c r="ALN2" s="55" t="s">
        <v>2174</v>
      </c>
      <c r="ALO2" s="55" t="s">
        <v>2174</v>
      </c>
      <c r="ALP2" s="55" t="s">
        <v>2174</v>
      </c>
      <c r="ALQ2" s="55" t="s">
        <v>2174</v>
      </c>
      <c r="ALR2" s="55" t="s">
        <v>2174</v>
      </c>
      <c r="ALS2" s="55" t="s">
        <v>2174</v>
      </c>
      <c r="ALT2" s="55" t="s">
        <v>2174</v>
      </c>
      <c r="ALU2" s="55" t="s">
        <v>2174</v>
      </c>
      <c r="ALV2" s="55" t="s">
        <v>2174</v>
      </c>
      <c r="ALW2" s="55" t="s">
        <v>2174</v>
      </c>
      <c r="ALX2" s="55" t="s">
        <v>2174</v>
      </c>
      <c r="ALY2" s="55" t="s">
        <v>2174</v>
      </c>
      <c r="ALZ2" s="55" t="s">
        <v>2174</v>
      </c>
      <c r="AMA2" s="55" t="s">
        <v>2174</v>
      </c>
      <c r="AMB2" s="55" t="s">
        <v>2174</v>
      </c>
      <c r="AMC2" s="55" t="s">
        <v>2174</v>
      </c>
      <c r="AMD2" s="55" t="s">
        <v>2174</v>
      </c>
      <c r="AME2" s="55" t="s">
        <v>2174</v>
      </c>
      <c r="AMF2" s="55" t="s">
        <v>2174</v>
      </c>
      <c r="AMG2" s="55" t="s">
        <v>2174</v>
      </c>
      <c r="AMH2" s="55" t="s">
        <v>2174</v>
      </c>
      <c r="AMI2" s="55" t="s">
        <v>2174</v>
      </c>
      <c r="AMJ2" s="55" t="s">
        <v>2174</v>
      </c>
      <c r="AMK2" s="55" t="s">
        <v>2174</v>
      </c>
      <c r="AML2" s="55" t="s">
        <v>2174</v>
      </c>
      <c r="AMM2" s="55" t="s">
        <v>2174</v>
      </c>
      <c r="AMN2" s="55" t="s">
        <v>2174</v>
      </c>
      <c r="AMO2" s="55" t="s">
        <v>2174</v>
      </c>
      <c r="AMP2" s="55" t="s">
        <v>2174</v>
      </c>
      <c r="AMQ2" s="55" t="s">
        <v>2174</v>
      </c>
      <c r="AMR2" s="55" t="s">
        <v>2174</v>
      </c>
      <c r="AMS2" s="55" t="s">
        <v>2174</v>
      </c>
      <c r="AMT2" s="55" t="s">
        <v>2174</v>
      </c>
      <c r="AMU2" s="55" t="s">
        <v>2174</v>
      </c>
      <c r="AMV2" s="55" t="s">
        <v>2174</v>
      </c>
      <c r="AMW2" s="55" t="s">
        <v>2174</v>
      </c>
      <c r="AMX2" s="55" t="s">
        <v>2174</v>
      </c>
      <c r="AMY2" s="55" t="s">
        <v>2174</v>
      </c>
      <c r="AMZ2" s="55" t="s">
        <v>2174</v>
      </c>
      <c r="ANA2" s="55" t="s">
        <v>2174</v>
      </c>
      <c r="ANB2" s="55" t="s">
        <v>2174</v>
      </c>
      <c r="ANC2" s="55" t="s">
        <v>2174</v>
      </c>
      <c r="AND2" s="55" t="s">
        <v>2174</v>
      </c>
      <c r="ANE2" s="55" t="s">
        <v>2174</v>
      </c>
      <c r="ANF2" s="55" t="s">
        <v>2174</v>
      </c>
      <c r="ANG2" s="55" t="s">
        <v>2174</v>
      </c>
      <c r="ANH2" s="55" t="s">
        <v>2174</v>
      </c>
      <c r="ANI2" s="55" t="s">
        <v>2174</v>
      </c>
      <c r="ANJ2" s="55" t="s">
        <v>2174</v>
      </c>
      <c r="ANK2" s="55" t="s">
        <v>2174</v>
      </c>
      <c r="ANL2" s="55" t="s">
        <v>2174</v>
      </c>
      <c r="ANM2" s="55" t="s">
        <v>2174</v>
      </c>
      <c r="ANN2" s="55" t="s">
        <v>2174</v>
      </c>
      <c r="ANO2" s="55" t="s">
        <v>2174</v>
      </c>
      <c r="ANP2" s="55" t="s">
        <v>2174</v>
      </c>
      <c r="ANQ2" s="55" t="s">
        <v>2174</v>
      </c>
      <c r="ANR2" s="55" t="s">
        <v>2174</v>
      </c>
      <c r="ANS2" s="55" t="s">
        <v>2174</v>
      </c>
      <c r="ANT2" s="55" t="s">
        <v>2174</v>
      </c>
      <c r="ANU2" s="55" t="s">
        <v>2174</v>
      </c>
      <c r="ANV2" s="55" t="s">
        <v>2174</v>
      </c>
      <c r="ANW2" s="55" t="s">
        <v>2174</v>
      </c>
      <c r="ANX2" s="55" t="s">
        <v>2174</v>
      </c>
      <c r="ANY2" s="55" t="s">
        <v>2174</v>
      </c>
      <c r="ANZ2" s="55" t="s">
        <v>2174</v>
      </c>
      <c r="AOA2" s="55" t="s">
        <v>2174</v>
      </c>
      <c r="AOB2" s="55" t="s">
        <v>2174</v>
      </c>
      <c r="AOC2" s="55" t="s">
        <v>2174</v>
      </c>
      <c r="AOD2" s="55" t="s">
        <v>2174</v>
      </c>
      <c r="AOE2" s="55" t="s">
        <v>2174</v>
      </c>
      <c r="AOF2" s="55" t="s">
        <v>2174</v>
      </c>
      <c r="AOG2" s="55" t="s">
        <v>2174</v>
      </c>
      <c r="AOH2" s="55" t="s">
        <v>2174</v>
      </c>
      <c r="AOI2" s="55" t="s">
        <v>2174</v>
      </c>
      <c r="AOJ2" s="55" t="s">
        <v>2174</v>
      </c>
      <c r="AOK2" s="55" t="s">
        <v>2174</v>
      </c>
      <c r="AOL2" s="55" t="s">
        <v>2174</v>
      </c>
      <c r="AOM2" s="55" t="s">
        <v>2174</v>
      </c>
      <c r="AON2" s="55" t="s">
        <v>2174</v>
      </c>
      <c r="AOO2" s="55" t="s">
        <v>2174</v>
      </c>
      <c r="AOP2" s="55" t="s">
        <v>2174</v>
      </c>
      <c r="AOQ2" s="55" t="s">
        <v>2174</v>
      </c>
      <c r="AOR2" s="55" t="s">
        <v>2174</v>
      </c>
      <c r="AOS2" s="55" t="s">
        <v>2174</v>
      </c>
      <c r="AOT2" s="55" t="s">
        <v>2174</v>
      </c>
      <c r="AOU2" s="55" t="s">
        <v>2174</v>
      </c>
      <c r="AOV2" s="55" t="s">
        <v>2174</v>
      </c>
      <c r="AOW2" s="55" t="s">
        <v>2174</v>
      </c>
      <c r="AOX2" s="55" t="s">
        <v>2174</v>
      </c>
      <c r="AOY2" s="55" t="s">
        <v>2174</v>
      </c>
      <c r="AOZ2" s="55" t="s">
        <v>2174</v>
      </c>
      <c r="APA2" s="55" t="s">
        <v>2174</v>
      </c>
      <c r="APB2" s="55" t="s">
        <v>2174</v>
      </c>
      <c r="APC2" s="55" t="s">
        <v>2174</v>
      </c>
      <c r="APD2" s="55" t="s">
        <v>2174</v>
      </c>
      <c r="APE2" s="55" t="s">
        <v>2174</v>
      </c>
      <c r="APF2" s="55" t="s">
        <v>2174</v>
      </c>
      <c r="APG2" s="55" t="s">
        <v>2174</v>
      </c>
      <c r="APH2" s="55" t="s">
        <v>2174</v>
      </c>
      <c r="API2" s="55" t="s">
        <v>2174</v>
      </c>
      <c r="APJ2" s="55" t="s">
        <v>2174</v>
      </c>
      <c r="APK2" s="55" t="s">
        <v>2174</v>
      </c>
      <c r="APL2" s="55" t="s">
        <v>2174</v>
      </c>
      <c r="APM2" s="55" t="s">
        <v>2174</v>
      </c>
      <c r="APN2" s="55" t="s">
        <v>2174</v>
      </c>
      <c r="APO2" s="55" t="s">
        <v>2174</v>
      </c>
      <c r="APP2" s="55" t="s">
        <v>2174</v>
      </c>
      <c r="APQ2" s="55" t="s">
        <v>2174</v>
      </c>
      <c r="APR2" s="55" t="s">
        <v>2174</v>
      </c>
      <c r="APS2" s="55" t="s">
        <v>2174</v>
      </c>
      <c r="APT2" s="55" t="s">
        <v>2174</v>
      </c>
      <c r="APU2" s="55" t="s">
        <v>2174</v>
      </c>
      <c r="APV2" s="55" t="s">
        <v>2174</v>
      </c>
      <c r="APW2" s="55" t="s">
        <v>2174</v>
      </c>
      <c r="APX2" s="55" t="s">
        <v>2174</v>
      </c>
      <c r="APY2" s="55" t="s">
        <v>2174</v>
      </c>
      <c r="APZ2" s="55" t="s">
        <v>2174</v>
      </c>
      <c r="AQA2" s="55" t="s">
        <v>2174</v>
      </c>
      <c r="AQB2" s="55" t="s">
        <v>2174</v>
      </c>
      <c r="AQC2" s="55" t="s">
        <v>2174</v>
      </c>
      <c r="AQD2" s="55" t="s">
        <v>2174</v>
      </c>
      <c r="AQE2" s="55" t="s">
        <v>2174</v>
      </c>
      <c r="AQF2" s="55" t="s">
        <v>2174</v>
      </c>
      <c r="AQG2" s="55" t="s">
        <v>2174</v>
      </c>
      <c r="AQH2" s="55" t="s">
        <v>2174</v>
      </c>
      <c r="AQI2" s="55" t="s">
        <v>2174</v>
      </c>
      <c r="AQJ2" s="55" t="s">
        <v>2174</v>
      </c>
      <c r="AQK2" s="55" t="s">
        <v>2174</v>
      </c>
      <c r="AQL2" s="55" t="s">
        <v>2174</v>
      </c>
      <c r="AQM2" s="55" t="s">
        <v>2174</v>
      </c>
      <c r="AQN2" s="55" t="s">
        <v>2174</v>
      </c>
      <c r="AQO2" s="55" t="s">
        <v>2174</v>
      </c>
      <c r="AQP2" s="55" t="s">
        <v>2174</v>
      </c>
      <c r="AQQ2" s="55" t="s">
        <v>2174</v>
      </c>
      <c r="AQR2" s="55" t="s">
        <v>2174</v>
      </c>
      <c r="AQS2" s="55" t="s">
        <v>2174</v>
      </c>
      <c r="AQT2" s="55" t="s">
        <v>2174</v>
      </c>
      <c r="AQU2" s="55" t="s">
        <v>2174</v>
      </c>
      <c r="AQV2" s="55" t="s">
        <v>2174</v>
      </c>
      <c r="AQW2" s="55" t="s">
        <v>2174</v>
      </c>
      <c r="AQX2" s="55" t="s">
        <v>2174</v>
      </c>
      <c r="AQY2" s="55" t="s">
        <v>2174</v>
      </c>
      <c r="AQZ2" s="55" t="s">
        <v>2174</v>
      </c>
      <c r="ARA2" s="55" t="s">
        <v>2174</v>
      </c>
      <c r="ARB2" s="55" t="s">
        <v>2174</v>
      </c>
      <c r="ARC2" s="55" t="s">
        <v>2174</v>
      </c>
      <c r="ARD2" s="55" t="s">
        <v>2174</v>
      </c>
      <c r="ARE2" s="55" t="s">
        <v>2174</v>
      </c>
      <c r="ARF2" s="55" t="s">
        <v>2174</v>
      </c>
      <c r="ARG2" s="55" t="s">
        <v>2174</v>
      </c>
      <c r="ARH2" s="55" t="s">
        <v>2174</v>
      </c>
      <c r="ARI2" s="55" t="s">
        <v>2174</v>
      </c>
      <c r="ARJ2" s="55" t="s">
        <v>2174</v>
      </c>
      <c r="ARK2" s="55" t="s">
        <v>2174</v>
      </c>
      <c r="ARL2" s="55" t="s">
        <v>2174</v>
      </c>
      <c r="ARM2" s="55" t="s">
        <v>2174</v>
      </c>
      <c r="ARN2" s="55" t="s">
        <v>2174</v>
      </c>
      <c r="ARO2" s="55" t="s">
        <v>2174</v>
      </c>
      <c r="ARP2" s="55" t="s">
        <v>2174</v>
      </c>
      <c r="ARQ2" s="55" t="s">
        <v>2174</v>
      </c>
      <c r="ARR2" s="55" t="s">
        <v>2174</v>
      </c>
      <c r="ARS2" s="55" t="s">
        <v>2174</v>
      </c>
      <c r="ART2" s="55" t="s">
        <v>2174</v>
      </c>
      <c r="ARU2" s="55" t="s">
        <v>2174</v>
      </c>
      <c r="ARV2" s="55" t="s">
        <v>2174</v>
      </c>
      <c r="ARW2" s="55" t="s">
        <v>2174</v>
      </c>
      <c r="ARX2" s="55" t="s">
        <v>2174</v>
      </c>
      <c r="ARY2" s="55" t="s">
        <v>2174</v>
      </c>
      <c r="ARZ2" s="55" t="s">
        <v>2174</v>
      </c>
      <c r="ASA2" s="55" t="s">
        <v>2174</v>
      </c>
      <c r="ASB2" s="55" t="s">
        <v>2174</v>
      </c>
      <c r="ASC2" s="55" t="s">
        <v>2174</v>
      </c>
      <c r="ASD2" s="55" t="s">
        <v>2174</v>
      </c>
      <c r="ASE2" s="55" t="s">
        <v>2174</v>
      </c>
      <c r="ASF2" s="55" t="s">
        <v>2174</v>
      </c>
      <c r="ASG2" s="55" t="s">
        <v>2174</v>
      </c>
      <c r="ASH2" s="55" t="s">
        <v>2174</v>
      </c>
      <c r="ASI2" s="55" t="s">
        <v>2174</v>
      </c>
      <c r="ASJ2" s="55" t="s">
        <v>2174</v>
      </c>
      <c r="ASK2" s="55" t="s">
        <v>2174</v>
      </c>
      <c r="ASL2" s="55" t="s">
        <v>2174</v>
      </c>
      <c r="ASM2" s="55" t="s">
        <v>2174</v>
      </c>
      <c r="ASN2" s="55" t="s">
        <v>2174</v>
      </c>
      <c r="ASO2" s="55" t="s">
        <v>2174</v>
      </c>
      <c r="ASP2" s="55" t="s">
        <v>2174</v>
      </c>
      <c r="ASQ2" s="55" t="s">
        <v>2174</v>
      </c>
      <c r="ASR2" s="55" t="s">
        <v>2174</v>
      </c>
      <c r="ASS2" s="55" t="s">
        <v>2174</v>
      </c>
      <c r="AST2" s="55" t="s">
        <v>2174</v>
      </c>
      <c r="ASU2" s="55" t="s">
        <v>2174</v>
      </c>
      <c r="ASV2" s="55" t="s">
        <v>2174</v>
      </c>
      <c r="ASW2" s="55" t="s">
        <v>2174</v>
      </c>
      <c r="ASX2" s="55" t="s">
        <v>2174</v>
      </c>
      <c r="ASY2" s="55" t="s">
        <v>2174</v>
      </c>
      <c r="ASZ2" s="55" t="s">
        <v>2174</v>
      </c>
      <c r="ATA2" s="55" t="s">
        <v>2174</v>
      </c>
      <c r="ATB2" s="55" t="s">
        <v>2174</v>
      </c>
      <c r="ATC2" s="55" t="s">
        <v>2174</v>
      </c>
      <c r="ATD2" s="55" t="s">
        <v>2174</v>
      </c>
      <c r="ATE2" s="55" t="s">
        <v>2174</v>
      </c>
      <c r="ATF2" s="55" t="s">
        <v>2174</v>
      </c>
      <c r="ATG2" s="55" t="s">
        <v>2174</v>
      </c>
      <c r="ATH2" s="55" t="s">
        <v>2174</v>
      </c>
      <c r="ATI2" s="55" t="s">
        <v>2174</v>
      </c>
      <c r="ATJ2" s="55" t="s">
        <v>2174</v>
      </c>
      <c r="ATK2" s="55" t="s">
        <v>2174</v>
      </c>
      <c r="ATL2" s="55" t="s">
        <v>2174</v>
      </c>
      <c r="ATM2" s="55" t="s">
        <v>2174</v>
      </c>
      <c r="ATN2" s="55" t="s">
        <v>2174</v>
      </c>
      <c r="ATO2" s="55" t="s">
        <v>2174</v>
      </c>
      <c r="ATP2" s="55" t="s">
        <v>2174</v>
      </c>
      <c r="ATQ2" s="55" t="s">
        <v>2174</v>
      </c>
      <c r="ATR2" s="55" t="s">
        <v>2174</v>
      </c>
      <c r="ATS2" s="55" t="s">
        <v>2174</v>
      </c>
      <c r="ATT2" s="55" t="s">
        <v>2174</v>
      </c>
      <c r="ATU2" s="55" t="s">
        <v>2174</v>
      </c>
      <c r="ATV2" s="55" t="s">
        <v>2174</v>
      </c>
      <c r="ATW2" s="55" t="s">
        <v>2174</v>
      </c>
      <c r="ATX2" s="55" t="s">
        <v>2174</v>
      </c>
      <c r="ATY2" s="55" t="s">
        <v>2174</v>
      </c>
      <c r="ATZ2" s="55" t="s">
        <v>2174</v>
      </c>
      <c r="AUA2" s="55" t="s">
        <v>2174</v>
      </c>
      <c r="AUB2" s="55" t="s">
        <v>2174</v>
      </c>
      <c r="AUC2" s="55" t="s">
        <v>2174</v>
      </c>
      <c r="AUD2" s="55" t="s">
        <v>2174</v>
      </c>
      <c r="AUE2" s="55" t="s">
        <v>2174</v>
      </c>
      <c r="AUF2" s="55" t="s">
        <v>2174</v>
      </c>
      <c r="AUG2" s="55" t="s">
        <v>2174</v>
      </c>
      <c r="AUH2" s="55" t="s">
        <v>2174</v>
      </c>
      <c r="AUI2" s="55" t="s">
        <v>2174</v>
      </c>
      <c r="AUJ2" s="55" t="s">
        <v>2174</v>
      </c>
      <c r="AUK2" s="55" t="s">
        <v>2174</v>
      </c>
      <c r="AUL2" s="55" t="s">
        <v>2174</v>
      </c>
      <c r="AUM2" s="55" t="s">
        <v>2174</v>
      </c>
      <c r="AUN2" s="55" t="s">
        <v>2174</v>
      </c>
      <c r="AUO2" s="55" t="s">
        <v>2174</v>
      </c>
      <c r="AUP2" s="55" t="s">
        <v>2174</v>
      </c>
      <c r="AUQ2" s="55" t="s">
        <v>2174</v>
      </c>
      <c r="AUR2" s="55" t="s">
        <v>2174</v>
      </c>
      <c r="AUS2" s="55" t="s">
        <v>2174</v>
      </c>
      <c r="AUT2" s="55" t="s">
        <v>2174</v>
      </c>
      <c r="AUU2" s="55" t="s">
        <v>2174</v>
      </c>
      <c r="AUV2" s="55" t="s">
        <v>2174</v>
      </c>
      <c r="AUW2" s="55" t="s">
        <v>2174</v>
      </c>
      <c r="AUX2" s="55" t="s">
        <v>2174</v>
      </c>
      <c r="AUY2" s="55" t="s">
        <v>2174</v>
      </c>
      <c r="AUZ2" s="55" t="s">
        <v>2174</v>
      </c>
      <c r="AVA2" s="55" t="s">
        <v>2174</v>
      </c>
      <c r="AVB2" s="55" t="s">
        <v>2174</v>
      </c>
      <c r="AVC2" s="55" t="s">
        <v>2174</v>
      </c>
      <c r="AVD2" s="55" t="s">
        <v>2174</v>
      </c>
      <c r="AVE2" s="55" t="s">
        <v>2174</v>
      </c>
      <c r="AVF2" s="55" t="s">
        <v>2174</v>
      </c>
      <c r="AVG2" s="55" t="s">
        <v>2174</v>
      </c>
      <c r="AVH2" s="55" t="s">
        <v>2174</v>
      </c>
      <c r="AVI2" s="55" t="s">
        <v>2174</v>
      </c>
      <c r="AVJ2" s="55" t="s">
        <v>2174</v>
      </c>
      <c r="AVK2" s="55" t="s">
        <v>2174</v>
      </c>
      <c r="AVL2" s="55" t="s">
        <v>2174</v>
      </c>
      <c r="AVM2" s="55" t="s">
        <v>2174</v>
      </c>
      <c r="AVN2" s="55" t="s">
        <v>2174</v>
      </c>
      <c r="AVO2" s="55" t="s">
        <v>2174</v>
      </c>
      <c r="AVP2" s="55" t="s">
        <v>2174</v>
      </c>
      <c r="AVQ2" s="55" t="s">
        <v>2174</v>
      </c>
      <c r="AVR2" s="55" t="s">
        <v>2174</v>
      </c>
      <c r="AVS2" s="55" t="s">
        <v>2174</v>
      </c>
      <c r="AVT2" s="55" t="s">
        <v>2174</v>
      </c>
      <c r="AVU2" s="55" t="s">
        <v>2174</v>
      </c>
      <c r="AVV2" s="55" t="s">
        <v>2174</v>
      </c>
      <c r="AVW2" s="55" t="s">
        <v>2174</v>
      </c>
      <c r="AVX2" s="55" t="s">
        <v>2174</v>
      </c>
      <c r="AVY2" s="55" t="s">
        <v>2174</v>
      </c>
      <c r="AVZ2" s="55" t="s">
        <v>2174</v>
      </c>
      <c r="AWA2" s="55" t="s">
        <v>2174</v>
      </c>
      <c r="AWB2" s="55" t="s">
        <v>2174</v>
      </c>
      <c r="AWC2" s="55" t="s">
        <v>2174</v>
      </c>
      <c r="AWD2" s="55" t="s">
        <v>2174</v>
      </c>
      <c r="AWE2" s="55" t="s">
        <v>2174</v>
      </c>
      <c r="AWF2" s="55" t="s">
        <v>2174</v>
      </c>
      <c r="AWG2" s="55" t="s">
        <v>2174</v>
      </c>
      <c r="AWH2" s="55" t="s">
        <v>2174</v>
      </c>
      <c r="AWI2" s="55" t="s">
        <v>2174</v>
      </c>
      <c r="AWJ2" s="55" t="s">
        <v>2174</v>
      </c>
      <c r="AWK2" s="55" t="s">
        <v>2174</v>
      </c>
      <c r="AWL2" s="55" t="s">
        <v>2174</v>
      </c>
      <c r="AWM2" s="55" t="s">
        <v>2174</v>
      </c>
      <c r="AWN2" s="55" t="s">
        <v>2174</v>
      </c>
      <c r="AWO2" s="55" t="s">
        <v>2174</v>
      </c>
      <c r="AWP2" s="55" t="s">
        <v>2174</v>
      </c>
      <c r="AWQ2" s="55" t="s">
        <v>2174</v>
      </c>
      <c r="AWR2" s="55" t="s">
        <v>2174</v>
      </c>
      <c r="AWS2" s="55" t="s">
        <v>2174</v>
      </c>
      <c r="AWT2" s="55" t="s">
        <v>2174</v>
      </c>
      <c r="AWU2" s="55" t="s">
        <v>2174</v>
      </c>
      <c r="AWV2" s="55" t="s">
        <v>2174</v>
      </c>
      <c r="AWW2" s="55" t="s">
        <v>2174</v>
      </c>
      <c r="AWX2" s="55" t="s">
        <v>2174</v>
      </c>
      <c r="AWY2" s="55" t="s">
        <v>2174</v>
      </c>
      <c r="AWZ2" s="55" t="s">
        <v>2174</v>
      </c>
      <c r="AXA2" s="55" t="s">
        <v>2174</v>
      </c>
      <c r="AXB2" s="55" t="s">
        <v>2174</v>
      </c>
      <c r="AXC2" s="55" t="s">
        <v>2174</v>
      </c>
      <c r="AXD2" s="55" t="s">
        <v>2174</v>
      </c>
      <c r="AXE2" s="55" t="s">
        <v>2174</v>
      </c>
      <c r="AXF2" s="55" t="s">
        <v>2174</v>
      </c>
      <c r="AXG2" s="55" t="s">
        <v>2174</v>
      </c>
      <c r="AXH2" s="55" t="s">
        <v>2174</v>
      </c>
      <c r="AXI2" s="55" t="s">
        <v>2174</v>
      </c>
      <c r="AXJ2" s="55" t="s">
        <v>2174</v>
      </c>
      <c r="AXK2" s="55" t="s">
        <v>2174</v>
      </c>
      <c r="AXL2" s="55" t="s">
        <v>2174</v>
      </c>
      <c r="AXM2" s="55" t="s">
        <v>2174</v>
      </c>
      <c r="AXN2" s="55" t="s">
        <v>2174</v>
      </c>
      <c r="AXO2" s="55" t="s">
        <v>2174</v>
      </c>
      <c r="AXP2" s="55" t="s">
        <v>2174</v>
      </c>
      <c r="AXQ2" s="55" t="s">
        <v>2174</v>
      </c>
      <c r="AXR2" s="55" t="s">
        <v>2174</v>
      </c>
      <c r="AXS2" s="55" t="s">
        <v>2174</v>
      </c>
      <c r="AXT2" s="55" t="s">
        <v>2174</v>
      </c>
      <c r="AXU2" s="55" t="s">
        <v>2174</v>
      </c>
      <c r="AXV2" s="55" t="s">
        <v>2174</v>
      </c>
      <c r="AXW2" s="55" t="s">
        <v>2174</v>
      </c>
      <c r="AXX2" s="55" t="s">
        <v>2174</v>
      </c>
      <c r="AXY2" s="55" t="s">
        <v>2174</v>
      </c>
      <c r="AXZ2" s="55" t="s">
        <v>2174</v>
      </c>
      <c r="AYA2" s="55" t="s">
        <v>2174</v>
      </c>
      <c r="AYB2" s="55" t="s">
        <v>2174</v>
      </c>
      <c r="AYC2" s="55" t="s">
        <v>2174</v>
      </c>
      <c r="AYD2" s="55" t="s">
        <v>2174</v>
      </c>
      <c r="AYE2" s="55" t="s">
        <v>2174</v>
      </c>
      <c r="AYF2" s="55" t="s">
        <v>2174</v>
      </c>
      <c r="AYG2" s="55" t="s">
        <v>2174</v>
      </c>
      <c r="AYH2" s="55" t="s">
        <v>2174</v>
      </c>
      <c r="AYI2" s="55" t="s">
        <v>2174</v>
      </c>
      <c r="AYJ2" s="55" t="s">
        <v>2174</v>
      </c>
      <c r="AYK2" s="55" t="s">
        <v>2174</v>
      </c>
      <c r="AYL2" s="55" t="s">
        <v>2174</v>
      </c>
      <c r="AYM2" s="55" t="s">
        <v>2174</v>
      </c>
      <c r="AYN2" s="55" t="s">
        <v>2174</v>
      </c>
      <c r="AYO2" s="55" t="s">
        <v>2174</v>
      </c>
      <c r="AYP2" s="55" t="s">
        <v>2174</v>
      </c>
      <c r="AYQ2" s="55" t="s">
        <v>2174</v>
      </c>
      <c r="AYR2" s="55" t="s">
        <v>2174</v>
      </c>
      <c r="AYS2" s="55" t="s">
        <v>2174</v>
      </c>
      <c r="AYT2" s="55" t="s">
        <v>2174</v>
      </c>
      <c r="AYU2" s="55" t="s">
        <v>2174</v>
      </c>
      <c r="AYV2" s="55" t="s">
        <v>2174</v>
      </c>
      <c r="AYW2" s="55" t="s">
        <v>2174</v>
      </c>
      <c r="AYX2" s="55" t="s">
        <v>2174</v>
      </c>
      <c r="AYY2" s="55" t="s">
        <v>2174</v>
      </c>
      <c r="AYZ2" s="55" t="s">
        <v>2174</v>
      </c>
      <c r="AZA2" s="55" t="s">
        <v>2174</v>
      </c>
      <c r="AZB2" s="55" t="s">
        <v>2174</v>
      </c>
      <c r="AZC2" s="55" t="s">
        <v>2174</v>
      </c>
      <c r="AZD2" s="55" t="s">
        <v>2174</v>
      </c>
      <c r="AZE2" s="55" t="s">
        <v>2174</v>
      </c>
      <c r="AZF2" s="55" t="s">
        <v>2174</v>
      </c>
      <c r="AZG2" s="55" t="s">
        <v>2174</v>
      </c>
      <c r="AZH2" s="55" t="s">
        <v>2174</v>
      </c>
      <c r="AZI2" s="55" t="s">
        <v>2174</v>
      </c>
      <c r="AZJ2" s="55" t="s">
        <v>2174</v>
      </c>
      <c r="AZK2" s="55" t="s">
        <v>2174</v>
      </c>
      <c r="AZL2" s="55" t="s">
        <v>2174</v>
      </c>
      <c r="AZM2" s="55" t="s">
        <v>2174</v>
      </c>
      <c r="AZN2" s="55" t="s">
        <v>2174</v>
      </c>
      <c r="AZO2" s="55" t="s">
        <v>2174</v>
      </c>
      <c r="AZP2" s="55" t="s">
        <v>2174</v>
      </c>
      <c r="AZQ2" s="55" t="s">
        <v>2174</v>
      </c>
      <c r="AZR2" s="55" t="s">
        <v>2174</v>
      </c>
      <c r="AZS2" s="55" t="s">
        <v>2174</v>
      </c>
      <c r="AZT2" s="55" t="s">
        <v>2174</v>
      </c>
      <c r="AZU2" s="55" t="s">
        <v>2174</v>
      </c>
      <c r="AZV2" s="55" t="s">
        <v>2174</v>
      </c>
      <c r="AZW2" s="55" t="s">
        <v>2174</v>
      </c>
      <c r="AZX2" s="55" t="s">
        <v>2174</v>
      </c>
      <c r="AZY2" s="55" t="s">
        <v>2174</v>
      </c>
      <c r="AZZ2" s="55" t="s">
        <v>2174</v>
      </c>
      <c r="BAA2" s="55" t="s">
        <v>2174</v>
      </c>
      <c r="BAB2" s="55" t="s">
        <v>2174</v>
      </c>
      <c r="BAC2" s="55" t="s">
        <v>2174</v>
      </c>
      <c r="BAD2" s="55" t="s">
        <v>2174</v>
      </c>
      <c r="BAE2" s="55" t="s">
        <v>2174</v>
      </c>
      <c r="BAF2" s="55" t="s">
        <v>2174</v>
      </c>
      <c r="BAG2" s="55" t="s">
        <v>2174</v>
      </c>
      <c r="BAH2" s="55" t="s">
        <v>2174</v>
      </c>
      <c r="BAI2" s="55" t="s">
        <v>2174</v>
      </c>
      <c r="BAJ2" s="55" t="s">
        <v>2174</v>
      </c>
      <c r="BAK2" s="55" t="s">
        <v>2174</v>
      </c>
      <c r="BAL2" s="55" t="s">
        <v>2174</v>
      </c>
      <c r="BAM2" s="55" t="s">
        <v>2174</v>
      </c>
      <c r="BAN2" s="55" t="s">
        <v>2174</v>
      </c>
      <c r="BAO2" s="55" t="s">
        <v>2174</v>
      </c>
      <c r="BAP2" s="55" t="s">
        <v>2174</v>
      </c>
      <c r="BAQ2" s="55" t="s">
        <v>2174</v>
      </c>
      <c r="BAR2" s="55" t="s">
        <v>2174</v>
      </c>
      <c r="BAS2" s="55" t="s">
        <v>2174</v>
      </c>
      <c r="BAT2" s="55" t="s">
        <v>2174</v>
      </c>
      <c r="BAU2" s="55" t="s">
        <v>2174</v>
      </c>
      <c r="BAV2" s="55" t="s">
        <v>2174</v>
      </c>
      <c r="BAW2" s="55" t="s">
        <v>2174</v>
      </c>
      <c r="BAX2" s="55" t="s">
        <v>2174</v>
      </c>
      <c r="BAY2" s="55" t="s">
        <v>2174</v>
      </c>
      <c r="BAZ2" s="55" t="s">
        <v>2174</v>
      </c>
      <c r="BBA2" s="55" t="s">
        <v>2174</v>
      </c>
      <c r="BBB2" s="55" t="s">
        <v>2174</v>
      </c>
      <c r="BBC2" s="55" t="s">
        <v>2174</v>
      </c>
      <c r="BBD2" s="55" t="s">
        <v>2174</v>
      </c>
      <c r="BBE2" s="55" t="s">
        <v>2174</v>
      </c>
      <c r="BBF2" s="55" t="s">
        <v>2174</v>
      </c>
      <c r="BBG2" s="55" t="s">
        <v>2174</v>
      </c>
      <c r="BBH2" s="55" t="s">
        <v>2174</v>
      </c>
      <c r="BBI2" s="55" t="s">
        <v>2174</v>
      </c>
      <c r="BBJ2" s="55" t="s">
        <v>2174</v>
      </c>
      <c r="BBK2" s="55" t="s">
        <v>2174</v>
      </c>
      <c r="BBL2" s="55" t="s">
        <v>2174</v>
      </c>
      <c r="BBM2" s="55" t="s">
        <v>2174</v>
      </c>
      <c r="BBN2" s="55" t="s">
        <v>2174</v>
      </c>
      <c r="BBO2" s="55" t="s">
        <v>2174</v>
      </c>
      <c r="BBP2" s="55" t="s">
        <v>2174</v>
      </c>
      <c r="BBQ2" s="55" t="s">
        <v>2174</v>
      </c>
      <c r="BBR2" s="55" t="s">
        <v>2174</v>
      </c>
      <c r="BBS2" s="55" t="s">
        <v>2174</v>
      </c>
      <c r="BBT2" s="55" t="s">
        <v>2174</v>
      </c>
      <c r="BBU2" s="55" t="s">
        <v>2174</v>
      </c>
      <c r="BBV2" s="55" t="s">
        <v>2174</v>
      </c>
      <c r="BBW2" s="55" t="s">
        <v>2174</v>
      </c>
      <c r="BBX2" s="55" t="s">
        <v>2174</v>
      </c>
      <c r="BBY2" s="55" t="s">
        <v>2174</v>
      </c>
      <c r="BBZ2" s="55" t="s">
        <v>2174</v>
      </c>
      <c r="BCA2" s="55" t="s">
        <v>2174</v>
      </c>
      <c r="BCB2" s="55" t="s">
        <v>2174</v>
      </c>
      <c r="BCC2" s="55" t="s">
        <v>2174</v>
      </c>
      <c r="BCD2" s="55" t="s">
        <v>2174</v>
      </c>
      <c r="BCE2" s="55" t="s">
        <v>2174</v>
      </c>
      <c r="BCF2" s="55" t="s">
        <v>2174</v>
      </c>
      <c r="BCG2" s="55" t="s">
        <v>2174</v>
      </c>
      <c r="BCH2" s="55" t="s">
        <v>2174</v>
      </c>
      <c r="BCI2" s="55" t="s">
        <v>2174</v>
      </c>
      <c r="BCJ2" s="55" t="s">
        <v>2174</v>
      </c>
      <c r="BCK2" s="55" t="s">
        <v>2174</v>
      </c>
      <c r="BCL2" s="55" t="s">
        <v>2174</v>
      </c>
      <c r="BCM2" s="55" t="s">
        <v>2174</v>
      </c>
      <c r="BCN2" s="55" t="s">
        <v>2174</v>
      </c>
      <c r="BCO2" s="55" t="s">
        <v>2174</v>
      </c>
      <c r="BCP2" s="55" t="s">
        <v>2174</v>
      </c>
      <c r="BCQ2" s="55" t="s">
        <v>2174</v>
      </c>
      <c r="BCR2" s="55" t="s">
        <v>2174</v>
      </c>
      <c r="BCS2" s="55" t="s">
        <v>2174</v>
      </c>
      <c r="BCT2" s="55" t="s">
        <v>2174</v>
      </c>
      <c r="BCU2" s="55" t="s">
        <v>2174</v>
      </c>
      <c r="BCV2" s="55" t="s">
        <v>2174</v>
      </c>
      <c r="BCW2" s="55" t="s">
        <v>2174</v>
      </c>
      <c r="BCX2" s="55" t="s">
        <v>2174</v>
      </c>
      <c r="BCY2" s="55" t="s">
        <v>2174</v>
      </c>
      <c r="BCZ2" s="55" t="s">
        <v>2174</v>
      </c>
      <c r="BDA2" s="55" t="s">
        <v>2174</v>
      </c>
      <c r="BDB2" s="55" t="s">
        <v>2174</v>
      </c>
      <c r="BDC2" s="55" t="s">
        <v>2174</v>
      </c>
      <c r="BDD2" s="55" t="s">
        <v>2174</v>
      </c>
      <c r="BDE2" s="55" t="s">
        <v>2174</v>
      </c>
      <c r="BDF2" s="55" t="s">
        <v>2174</v>
      </c>
      <c r="BDG2" s="55" t="s">
        <v>2174</v>
      </c>
      <c r="BDH2" s="55" t="s">
        <v>2174</v>
      </c>
      <c r="BDI2" s="55" t="s">
        <v>2174</v>
      </c>
      <c r="BDJ2" s="55" t="s">
        <v>2174</v>
      </c>
      <c r="BDK2" s="55" t="s">
        <v>2174</v>
      </c>
      <c r="BDL2" s="55" t="s">
        <v>2174</v>
      </c>
      <c r="BDM2" s="55" t="s">
        <v>2174</v>
      </c>
      <c r="BDN2" s="55" t="s">
        <v>2174</v>
      </c>
      <c r="BDO2" s="55" t="s">
        <v>2174</v>
      </c>
      <c r="BDP2" s="55" t="s">
        <v>2174</v>
      </c>
      <c r="BDQ2" s="55" t="s">
        <v>2174</v>
      </c>
      <c r="BDR2" s="55" t="s">
        <v>2174</v>
      </c>
      <c r="BDS2" s="55" t="s">
        <v>2174</v>
      </c>
      <c r="BDT2" s="55" t="s">
        <v>2174</v>
      </c>
      <c r="BDU2" s="55" t="s">
        <v>2174</v>
      </c>
      <c r="BDV2" s="55" t="s">
        <v>2174</v>
      </c>
      <c r="BDW2" s="55" t="s">
        <v>2174</v>
      </c>
      <c r="BDX2" s="55" t="s">
        <v>2174</v>
      </c>
      <c r="BDY2" s="55" t="s">
        <v>2174</v>
      </c>
      <c r="BDZ2" s="55" t="s">
        <v>2174</v>
      </c>
      <c r="BEA2" s="55" t="s">
        <v>2174</v>
      </c>
      <c r="BEB2" s="55" t="s">
        <v>2174</v>
      </c>
      <c r="BEC2" s="55" t="s">
        <v>2174</v>
      </c>
      <c r="BED2" s="55" t="s">
        <v>2174</v>
      </c>
      <c r="BEE2" s="55" t="s">
        <v>2174</v>
      </c>
      <c r="BEF2" s="55" t="s">
        <v>2174</v>
      </c>
      <c r="BEG2" s="55" t="s">
        <v>2174</v>
      </c>
      <c r="BEH2" s="55" t="s">
        <v>2174</v>
      </c>
      <c r="BEI2" s="55" t="s">
        <v>2174</v>
      </c>
      <c r="BEJ2" s="55" t="s">
        <v>2174</v>
      </c>
      <c r="BEK2" s="55" t="s">
        <v>2174</v>
      </c>
      <c r="BEL2" s="55" t="s">
        <v>2174</v>
      </c>
      <c r="BEM2" s="55" t="s">
        <v>2174</v>
      </c>
      <c r="BEN2" s="55" t="s">
        <v>2174</v>
      </c>
      <c r="BEO2" s="55" t="s">
        <v>2174</v>
      </c>
      <c r="BEP2" s="55" t="s">
        <v>2174</v>
      </c>
      <c r="BEQ2" s="55" t="s">
        <v>2174</v>
      </c>
      <c r="BER2" s="55" t="s">
        <v>2174</v>
      </c>
      <c r="BES2" s="55" t="s">
        <v>2174</v>
      </c>
      <c r="BET2" s="55" t="s">
        <v>2174</v>
      </c>
      <c r="BEU2" s="55" t="s">
        <v>2174</v>
      </c>
      <c r="BEV2" s="55" t="s">
        <v>2174</v>
      </c>
      <c r="BEW2" s="55" t="s">
        <v>2174</v>
      </c>
      <c r="BEX2" s="55" t="s">
        <v>2174</v>
      </c>
      <c r="BEY2" s="55" t="s">
        <v>2174</v>
      </c>
      <c r="BEZ2" s="55" t="s">
        <v>2174</v>
      </c>
      <c r="BFA2" s="55" t="s">
        <v>2174</v>
      </c>
      <c r="BFB2" s="55" t="s">
        <v>2174</v>
      </c>
      <c r="BFC2" s="55" t="s">
        <v>2174</v>
      </c>
      <c r="BFD2" s="55" t="s">
        <v>2174</v>
      </c>
      <c r="BFE2" s="55" t="s">
        <v>2174</v>
      </c>
      <c r="BFF2" s="55" t="s">
        <v>2174</v>
      </c>
      <c r="BFG2" s="55" t="s">
        <v>2174</v>
      </c>
      <c r="BFH2" s="55" t="s">
        <v>2174</v>
      </c>
      <c r="BFI2" s="55" t="s">
        <v>2174</v>
      </c>
      <c r="BFJ2" s="55" t="s">
        <v>2174</v>
      </c>
      <c r="BFK2" s="55" t="s">
        <v>2174</v>
      </c>
      <c r="BFL2" s="55" t="s">
        <v>2174</v>
      </c>
      <c r="BFM2" s="55" t="s">
        <v>2174</v>
      </c>
      <c r="BFN2" s="55" t="s">
        <v>2174</v>
      </c>
      <c r="BFO2" s="55" t="s">
        <v>2174</v>
      </c>
      <c r="BFP2" s="55" t="s">
        <v>2174</v>
      </c>
      <c r="BFQ2" s="55" t="s">
        <v>2174</v>
      </c>
      <c r="BFR2" s="55" t="s">
        <v>2174</v>
      </c>
      <c r="BFS2" s="55" t="s">
        <v>2174</v>
      </c>
      <c r="BFT2" s="55" t="s">
        <v>2174</v>
      </c>
      <c r="BFU2" s="55" t="s">
        <v>2174</v>
      </c>
      <c r="BFV2" s="55" t="s">
        <v>2174</v>
      </c>
      <c r="BFW2" s="55" t="s">
        <v>2174</v>
      </c>
      <c r="BFX2" s="55" t="s">
        <v>2174</v>
      </c>
      <c r="BFY2" s="55" t="s">
        <v>2174</v>
      </c>
      <c r="BFZ2" s="55" t="s">
        <v>2174</v>
      </c>
      <c r="BGA2" s="55" t="s">
        <v>2174</v>
      </c>
      <c r="BGB2" s="55" t="s">
        <v>2174</v>
      </c>
      <c r="BGC2" s="55" t="s">
        <v>2174</v>
      </c>
      <c r="BGD2" s="55" t="s">
        <v>2174</v>
      </c>
      <c r="BGE2" s="55" t="s">
        <v>2174</v>
      </c>
      <c r="BGF2" s="55" t="s">
        <v>2174</v>
      </c>
      <c r="BGG2" s="55" t="s">
        <v>2174</v>
      </c>
      <c r="BGH2" s="55" t="s">
        <v>2174</v>
      </c>
      <c r="BGI2" s="55" t="s">
        <v>2174</v>
      </c>
      <c r="BGJ2" s="55" t="s">
        <v>2174</v>
      </c>
      <c r="BGK2" s="55" t="s">
        <v>2174</v>
      </c>
      <c r="BGL2" s="55" t="s">
        <v>2174</v>
      </c>
      <c r="BGM2" s="55" t="s">
        <v>2174</v>
      </c>
      <c r="BGN2" s="55" t="s">
        <v>2174</v>
      </c>
      <c r="BGO2" s="55" t="s">
        <v>2174</v>
      </c>
      <c r="BGP2" s="55" t="s">
        <v>2174</v>
      </c>
      <c r="BGQ2" s="55" t="s">
        <v>2174</v>
      </c>
      <c r="BGR2" s="55" t="s">
        <v>2174</v>
      </c>
      <c r="BGS2" s="55" t="s">
        <v>2174</v>
      </c>
      <c r="BGT2" s="55" t="s">
        <v>2174</v>
      </c>
      <c r="BGU2" s="55" t="s">
        <v>2174</v>
      </c>
      <c r="BGV2" s="55" t="s">
        <v>2174</v>
      </c>
      <c r="BGW2" s="55" t="s">
        <v>2174</v>
      </c>
      <c r="BGX2" s="55" t="s">
        <v>2174</v>
      </c>
      <c r="BGY2" s="55" t="s">
        <v>2174</v>
      </c>
      <c r="BGZ2" s="55" t="s">
        <v>2174</v>
      </c>
      <c r="BHA2" s="55" t="s">
        <v>2174</v>
      </c>
      <c r="BHB2" s="55" t="s">
        <v>2174</v>
      </c>
      <c r="BHC2" s="55" t="s">
        <v>2174</v>
      </c>
      <c r="BHD2" s="55" t="s">
        <v>2174</v>
      </c>
      <c r="BHE2" s="55" t="s">
        <v>2174</v>
      </c>
      <c r="BHF2" s="55" t="s">
        <v>2174</v>
      </c>
      <c r="BHG2" s="55" t="s">
        <v>2174</v>
      </c>
      <c r="BHH2" s="55" t="s">
        <v>2174</v>
      </c>
      <c r="BHI2" s="55" t="s">
        <v>2174</v>
      </c>
      <c r="BHJ2" s="55" t="s">
        <v>2174</v>
      </c>
      <c r="BHK2" s="55" t="s">
        <v>2174</v>
      </c>
      <c r="BHL2" s="55" t="s">
        <v>2174</v>
      </c>
      <c r="BHM2" s="55" t="s">
        <v>2174</v>
      </c>
      <c r="BHN2" s="55" t="s">
        <v>2174</v>
      </c>
      <c r="BHO2" s="55" t="s">
        <v>2174</v>
      </c>
      <c r="BHP2" s="55" t="s">
        <v>2174</v>
      </c>
      <c r="BHQ2" s="55" t="s">
        <v>2174</v>
      </c>
      <c r="BHR2" s="55" t="s">
        <v>2174</v>
      </c>
      <c r="BHS2" s="55" t="s">
        <v>2174</v>
      </c>
      <c r="BHT2" s="55" t="s">
        <v>2174</v>
      </c>
      <c r="BHU2" s="55" t="s">
        <v>2174</v>
      </c>
      <c r="BHV2" s="55" t="s">
        <v>2174</v>
      </c>
      <c r="BHW2" s="55" t="s">
        <v>2174</v>
      </c>
      <c r="BHX2" s="55" t="s">
        <v>2174</v>
      </c>
      <c r="BHY2" s="55" t="s">
        <v>2174</v>
      </c>
      <c r="BHZ2" s="55" t="s">
        <v>2174</v>
      </c>
      <c r="BIA2" s="55" t="s">
        <v>2174</v>
      </c>
      <c r="BIB2" s="55" t="s">
        <v>2174</v>
      </c>
      <c r="BIC2" s="55" t="s">
        <v>2174</v>
      </c>
      <c r="BID2" s="55" t="s">
        <v>2174</v>
      </c>
      <c r="BIE2" s="55" t="s">
        <v>2174</v>
      </c>
      <c r="BIF2" s="55" t="s">
        <v>2174</v>
      </c>
      <c r="BIG2" s="55" t="s">
        <v>2174</v>
      </c>
      <c r="BIH2" s="55" t="s">
        <v>2174</v>
      </c>
      <c r="BII2" s="55" t="s">
        <v>2174</v>
      </c>
      <c r="BIJ2" s="55" t="s">
        <v>2174</v>
      </c>
      <c r="BIK2" s="55" t="s">
        <v>2174</v>
      </c>
      <c r="BIL2" s="55" t="s">
        <v>2174</v>
      </c>
      <c r="BIM2" s="55" t="s">
        <v>2174</v>
      </c>
      <c r="BIN2" s="55" t="s">
        <v>2174</v>
      </c>
      <c r="BIO2" s="55" t="s">
        <v>2174</v>
      </c>
      <c r="BIP2" s="55" t="s">
        <v>2174</v>
      </c>
      <c r="BIQ2" s="55" t="s">
        <v>2174</v>
      </c>
      <c r="BIR2" s="55" t="s">
        <v>2174</v>
      </c>
      <c r="BIS2" s="55" t="s">
        <v>2174</v>
      </c>
      <c r="BIT2" s="55" t="s">
        <v>2174</v>
      </c>
      <c r="BIU2" s="55" t="s">
        <v>2174</v>
      </c>
      <c r="BIV2" s="55" t="s">
        <v>2174</v>
      </c>
      <c r="BIW2" s="55" t="s">
        <v>2174</v>
      </c>
      <c r="BIX2" s="55" t="s">
        <v>2174</v>
      </c>
      <c r="BIY2" s="55" t="s">
        <v>2174</v>
      </c>
      <c r="BIZ2" s="55" t="s">
        <v>2174</v>
      </c>
      <c r="BJA2" s="55" t="s">
        <v>2174</v>
      </c>
      <c r="BJB2" s="55" t="s">
        <v>2174</v>
      </c>
      <c r="BJC2" s="55" t="s">
        <v>2174</v>
      </c>
      <c r="BJD2" s="55" t="s">
        <v>2174</v>
      </c>
      <c r="BJE2" s="55" t="s">
        <v>2174</v>
      </c>
      <c r="BJF2" s="55" t="s">
        <v>2174</v>
      </c>
      <c r="BJG2" s="55" t="s">
        <v>2174</v>
      </c>
      <c r="BJH2" s="55" t="s">
        <v>2174</v>
      </c>
      <c r="BJI2" s="55" t="s">
        <v>2174</v>
      </c>
      <c r="BJJ2" s="55" t="s">
        <v>2174</v>
      </c>
      <c r="BJK2" s="55" t="s">
        <v>2174</v>
      </c>
      <c r="BJL2" s="55" t="s">
        <v>2174</v>
      </c>
      <c r="BJM2" s="55" t="s">
        <v>2174</v>
      </c>
      <c r="BJN2" s="55" t="s">
        <v>2174</v>
      </c>
      <c r="BJO2" s="55" t="s">
        <v>2174</v>
      </c>
      <c r="BJP2" s="55" t="s">
        <v>2174</v>
      </c>
      <c r="BJQ2" s="55" t="s">
        <v>2174</v>
      </c>
      <c r="BJR2" s="55" t="s">
        <v>2174</v>
      </c>
      <c r="BJS2" s="55" t="s">
        <v>2174</v>
      </c>
      <c r="BJT2" s="55" t="s">
        <v>2174</v>
      </c>
      <c r="BJU2" s="55" t="s">
        <v>2174</v>
      </c>
      <c r="BJV2" s="55" t="s">
        <v>2174</v>
      </c>
      <c r="BJW2" s="55" t="s">
        <v>2174</v>
      </c>
      <c r="BJX2" s="55" t="s">
        <v>2174</v>
      </c>
      <c r="BJY2" s="55" t="s">
        <v>2174</v>
      </c>
      <c r="BJZ2" s="55" t="s">
        <v>2174</v>
      </c>
      <c r="BKA2" s="55" t="s">
        <v>2174</v>
      </c>
      <c r="BKB2" s="55" t="s">
        <v>2174</v>
      </c>
      <c r="BKC2" s="55" t="s">
        <v>2174</v>
      </c>
      <c r="BKD2" s="58"/>
      <c r="BKE2" s="58"/>
      <c r="BKF2" s="58"/>
      <c r="BKG2" s="58"/>
      <c r="BKH2" s="58"/>
      <c r="BKI2" s="58"/>
      <c r="BKJ2" s="58"/>
      <c r="BKK2" s="58"/>
      <c r="BKL2" s="58"/>
      <c r="BKM2" s="58"/>
      <c r="BKN2" s="58"/>
      <c r="BKO2" s="58"/>
      <c r="BKP2" s="58"/>
      <c r="BKQ2" s="58"/>
      <c r="BKR2" s="58"/>
      <c r="BKS2" s="58"/>
      <c r="BKT2" s="58"/>
      <c r="BKU2" s="58"/>
      <c r="BKV2" s="58"/>
      <c r="BKW2" s="58"/>
      <c r="BKX2" s="58"/>
      <c r="BKY2" s="58"/>
      <c r="BKZ2" s="58"/>
      <c r="BLA2" s="58"/>
      <c r="BLB2" s="58"/>
      <c r="BLC2" s="58"/>
      <c r="BLD2" s="58"/>
      <c r="BLE2" s="58"/>
      <c r="BLF2" s="58"/>
      <c r="BLG2" s="58"/>
      <c r="BLH2" s="58"/>
      <c r="BLI2" s="58"/>
      <c r="BLJ2" s="58"/>
      <c r="BLK2" s="58"/>
      <c r="BLL2" s="58"/>
      <c r="BLM2" s="58"/>
      <c r="BLN2" s="58"/>
      <c r="BLO2" s="58"/>
      <c r="BLP2" s="58"/>
      <c r="BLQ2" s="58"/>
      <c r="BLR2" s="58"/>
      <c r="BLS2" s="58"/>
      <c r="BLT2" s="58"/>
      <c r="BLU2" s="58"/>
      <c r="BLV2" s="58"/>
      <c r="BLW2" s="58"/>
      <c r="BLX2" s="58"/>
      <c r="BLY2" s="58"/>
      <c r="BLZ2" s="58"/>
      <c r="BMA2" s="58"/>
      <c r="BMB2" s="58"/>
      <c r="BMC2" s="58"/>
      <c r="BMD2" s="58"/>
      <c r="BME2" s="58"/>
      <c r="BMF2" s="58"/>
      <c r="BMG2" s="58"/>
      <c r="BMH2" s="58"/>
      <c r="BMI2" s="58"/>
      <c r="BMJ2" s="58"/>
      <c r="BMK2" s="58"/>
      <c r="BML2" s="58"/>
      <c r="BMM2" s="56"/>
      <c r="BMN2" s="56"/>
      <c r="BMO2" s="56"/>
      <c r="BMP2" s="56"/>
      <c r="BMQ2" s="56"/>
      <c r="BMR2" s="56"/>
      <c r="BMS2" s="56"/>
      <c r="BMT2" s="56"/>
      <c r="BMU2" s="56"/>
      <c r="BMV2" s="56"/>
      <c r="BMW2" s="56"/>
      <c r="BMX2" s="56"/>
      <c r="BMY2" s="56"/>
      <c r="BMZ2" s="56"/>
      <c r="BNA2" s="56"/>
      <c r="BNB2" s="56"/>
      <c r="BNC2" s="56"/>
      <c r="BND2" s="56"/>
      <c r="BNE2" s="56"/>
      <c r="BNF2" s="56"/>
      <c r="BNG2" s="56"/>
      <c r="BNH2" s="56"/>
      <c r="BNI2" s="56"/>
      <c r="BNJ2" s="56"/>
      <c r="BNK2" s="56"/>
      <c r="BNL2" s="56"/>
      <c r="BNM2" s="56"/>
      <c r="BNN2" s="56"/>
      <c r="BNO2" s="56"/>
      <c r="BNP2" s="56"/>
      <c r="BNQ2" s="56"/>
      <c r="BNR2" s="56"/>
      <c r="BNS2" s="56"/>
      <c r="BNT2" s="56"/>
      <c r="BNU2" s="56"/>
      <c r="BNV2" s="56"/>
      <c r="BNW2" s="56"/>
      <c r="BNX2" s="56"/>
      <c r="BNY2" s="56"/>
      <c r="BNZ2" s="56"/>
      <c r="BOA2" s="56"/>
      <c r="BOB2" s="56"/>
      <c r="BOC2" s="56"/>
      <c r="BOD2" s="56"/>
      <c r="BOE2" s="56"/>
      <c r="BOF2" s="56"/>
      <c r="BOG2" s="56"/>
      <c r="BOH2" s="56"/>
      <c r="BOI2" s="56"/>
      <c r="BOJ2" s="56"/>
      <c r="BOK2" s="56"/>
      <c r="BOL2" s="56"/>
      <c r="BOM2" s="56"/>
      <c r="BON2" s="56"/>
      <c r="BOO2" s="56"/>
      <c r="BOP2" s="56"/>
      <c r="BOQ2" s="56"/>
      <c r="BOR2" s="56"/>
      <c r="BOS2" s="56"/>
      <c r="BOT2" s="56"/>
      <c r="BOU2" s="56"/>
      <c r="BOV2" s="56"/>
      <c r="BOW2" s="56"/>
      <c r="BOX2" s="56"/>
      <c r="BOY2" s="56"/>
      <c r="BOZ2" s="56"/>
      <c r="BPA2" s="56"/>
      <c r="BPB2" s="56"/>
      <c r="BPC2" s="56"/>
      <c r="BPD2" s="56"/>
      <c r="BPE2" s="56"/>
      <c r="BPF2" s="56"/>
      <c r="BPG2" s="56"/>
      <c r="BPH2" s="56"/>
      <c r="BPI2" s="56"/>
      <c r="BPJ2" s="56"/>
      <c r="BPK2" s="56"/>
      <c r="BPL2" s="56"/>
      <c r="BPM2" s="56"/>
      <c r="BPN2" s="56"/>
      <c r="BPO2" s="56"/>
      <c r="BPP2" s="56"/>
      <c r="BPQ2" s="56"/>
      <c r="BPR2" s="56"/>
      <c r="BPS2" s="56"/>
      <c r="BPT2" s="56"/>
      <c r="BPU2" s="56"/>
      <c r="BPV2" s="56"/>
      <c r="BPW2" s="56"/>
      <c r="BPX2" s="56"/>
      <c r="BPY2" s="56"/>
      <c r="BPZ2" s="56"/>
      <c r="BQA2" s="56"/>
      <c r="BQB2" s="56"/>
      <c r="BQC2" s="56"/>
      <c r="BQD2" s="56"/>
      <c r="BQE2" s="56"/>
      <c r="BQF2" s="56"/>
      <c r="BQG2" s="56"/>
      <c r="BQH2" s="56"/>
      <c r="BQI2" s="56"/>
      <c r="BQJ2" s="56"/>
      <c r="BQK2" s="56"/>
      <c r="BQL2" s="56"/>
      <c r="BQM2" s="56"/>
      <c r="BQN2" s="56"/>
      <c r="BQO2" s="56"/>
      <c r="BQP2" s="56"/>
      <c r="BQQ2" s="56"/>
      <c r="BQR2" s="56"/>
      <c r="BQS2" s="56"/>
      <c r="BQT2" s="56"/>
      <c r="BQU2" s="56"/>
      <c r="BQV2" s="56"/>
      <c r="BQW2" s="56"/>
      <c r="BQX2" s="56"/>
      <c r="BQY2" s="56"/>
      <c r="BQZ2" s="56"/>
      <c r="BRA2" s="56"/>
      <c r="BRB2" s="56"/>
      <c r="BRC2" s="56"/>
      <c r="BRD2" s="56"/>
      <c r="BRE2" s="56"/>
      <c r="BRF2" s="56"/>
      <c r="BRG2" s="56"/>
      <c r="BRH2" s="56"/>
      <c r="BRI2" s="56"/>
      <c r="BRJ2" s="56"/>
      <c r="BRK2" s="56"/>
      <c r="BRL2" s="56"/>
      <c r="BRM2" s="56"/>
      <c r="BRN2" s="56"/>
      <c r="BRO2" s="56"/>
      <c r="BRP2" s="56"/>
      <c r="BRQ2" s="56"/>
      <c r="BRR2" s="56"/>
      <c r="BRS2" s="56"/>
      <c r="BRT2" s="56"/>
      <c r="BRU2" s="56"/>
      <c r="BRV2" s="56"/>
      <c r="BRW2" s="56"/>
      <c r="BRX2" s="56"/>
      <c r="BRY2" s="56"/>
      <c r="BRZ2" s="56"/>
      <c r="BSA2" s="56"/>
      <c r="BSB2" s="56"/>
      <c r="BSC2" s="56"/>
      <c r="BSD2" s="56"/>
      <c r="BSE2" s="56"/>
      <c r="BSF2" s="56"/>
      <c r="BSG2" s="56"/>
      <c r="BSH2" s="56"/>
      <c r="BSI2" s="56"/>
      <c r="BSJ2" s="56"/>
      <c r="BSK2" s="56"/>
      <c r="BSL2" s="56"/>
      <c r="BSM2" s="56"/>
      <c r="BSN2" s="56"/>
      <c r="BSO2" s="56"/>
      <c r="BSP2" s="56"/>
      <c r="BSQ2" s="56"/>
      <c r="BSR2" s="56"/>
      <c r="BSS2" s="56"/>
      <c r="BST2" s="56"/>
      <c r="BSU2" s="56"/>
      <c r="BSV2" s="56"/>
      <c r="BSW2" s="56"/>
      <c r="BSX2" s="56"/>
      <c r="BSY2" s="56"/>
      <c r="BSZ2" s="56"/>
      <c r="BTA2" s="56"/>
      <c r="BTB2" s="56"/>
      <c r="BTC2" s="56"/>
      <c r="BTD2" s="56"/>
      <c r="BTE2" s="56"/>
      <c r="BTF2" s="56"/>
      <c r="BTG2" s="56"/>
      <c r="BTH2" s="56"/>
      <c r="BTI2" s="56"/>
      <c r="BTJ2" s="56"/>
      <c r="BTK2" s="56"/>
      <c r="BTL2" s="56"/>
      <c r="BTM2" s="56"/>
      <c r="BTN2" s="56"/>
      <c r="BTO2" s="56"/>
      <c r="BTP2" s="56"/>
      <c r="BTQ2" s="56"/>
      <c r="BTR2" s="56"/>
      <c r="BTS2" s="56"/>
      <c r="BTT2" s="56"/>
      <c r="BTU2" s="56"/>
      <c r="BTV2" s="56"/>
      <c r="BTW2" s="56"/>
      <c r="BTX2" s="56"/>
      <c r="BTY2" s="56"/>
      <c r="BTZ2" s="56"/>
      <c r="BUA2" s="56"/>
      <c r="BUB2" s="56"/>
      <c r="BUC2" s="56"/>
      <c r="BUD2" s="56"/>
      <c r="BUE2" s="56"/>
      <c r="BUF2" s="56"/>
      <c r="BUG2" s="56"/>
      <c r="BUH2" s="56"/>
      <c r="BUI2" s="56"/>
      <c r="BUJ2" s="56"/>
      <c r="BUK2" s="56"/>
      <c r="BUL2" s="56"/>
      <c r="BUM2" s="56"/>
      <c r="BUN2" s="56"/>
      <c r="BUO2" s="56"/>
      <c r="BUP2" s="56"/>
      <c r="BUQ2" s="56"/>
      <c r="BUR2" s="56"/>
      <c r="BUS2" s="56"/>
      <c r="BUT2" s="56"/>
      <c r="BUU2" s="56"/>
      <c r="BUV2" s="56"/>
      <c r="BUW2" s="56"/>
      <c r="BUX2" s="56"/>
      <c r="BUY2" s="56"/>
      <c r="BUZ2" s="56"/>
      <c r="BVA2" s="56"/>
      <c r="BVB2" s="56"/>
      <c r="BVC2" s="56"/>
      <c r="BVD2" s="56"/>
      <c r="BVE2" s="56"/>
      <c r="BVF2" s="56"/>
      <c r="BVG2" s="56"/>
      <c r="BVH2" s="56"/>
      <c r="BVI2" s="56"/>
      <c r="BVJ2" s="56"/>
      <c r="BVK2" s="56"/>
      <c r="BVL2" s="56"/>
      <c r="BVM2" s="56"/>
      <c r="BVN2" s="56"/>
      <c r="BVO2" s="56"/>
      <c r="BVP2" s="56"/>
      <c r="BVQ2" s="56"/>
      <c r="BVR2" s="56"/>
      <c r="BVS2" s="56"/>
      <c r="BVT2" s="56"/>
      <c r="BVU2" s="56"/>
      <c r="BVV2" s="56"/>
      <c r="BVW2" s="56"/>
      <c r="BVX2" s="56"/>
      <c r="BVY2" s="56"/>
      <c r="BVZ2" s="56"/>
      <c r="BWA2" s="56"/>
      <c r="BWB2" s="56"/>
      <c r="BWC2" s="56"/>
      <c r="BWD2" s="56"/>
      <c r="BWE2" s="56"/>
      <c r="BWF2" s="56"/>
      <c r="BWG2" s="56"/>
      <c r="BWH2" s="56"/>
      <c r="BWI2" s="56"/>
      <c r="BWJ2" s="56"/>
      <c r="BWK2" s="56"/>
      <c r="BWL2" s="56"/>
      <c r="BWM2" s="56"/>
      <c r="BWN2" s="56"/>
      <c r="BWO2" s="56"/>
      <c r="BWP2" s="56"/>
      <c r="BWQ2" s="56"/>
      <c r="BWR2" s="56"/>
      <c r="BWS2" s="56"/>
      <c r="BWT2" s="56"/>
      <c r="BWU2" s="56"/>
      <c r="BWV2" s="56"/>
      <c r="BWW2" s="56"/>
      <c r="BWX2" s="56"/>
      <c r="BWY2" s="56"/>
      <c r="BWZ2" s="56"/>
      <c r="BXA2" s="56"/>
      <c r="BXB2" s="56"/>
      <c r="BXC2" s="56"/>
      <c r="BXD2" s="56"/>
      <c r="BXE2" s="56"/>
      <c r="BXF2" s="56"/>
      <c r="BXG2" s="56"/>
      <c r="BXH2" s="56"/>
      <c r="BXI2" s="56"/>
      <c r="BXJ2" s="56"/>
      <c r="BXK2" s="56"/>
      <c r="BXL2" s="56"/>
      <c r="BXM2" s="56"/>
      <c r="BXN2" s="56"/>
      <c r="BXO2" s="56"/>
      <c r="BXP2" s="56"/>
      <c r="BXQ2" s="56"/>
      <c r="BXR2" s="56"/>
      <c r="BXS2" s="56"/>
      <c r="BXT2" s="56"/>
      <c r="BXU2" s="56"/>
      <c r="BXV2" s="56"/>
      <c r="BXW2" s="56"/>
      <c r="BXX2" s="56"/>
      <c r="BXY2" s="56"/>
      <c r="BXZ2" s="56"/>
      <c r="BYA2" s="56"/>
      <c r="BYB2" s="56"/>
      <c r="BYC2" s="56"/>
      <c r="BYD2" s="56"/>
      <c r="BYE2" s="56"/>
      <c r="BYF2" s="56"/>
      <c r="BYG2" s="56"/>
      <c r="BYH2" s="56"/>
      <c r="BYI2" s="56"/>
      <c r="BYJ2" s="56"/>
      <c r="BYK2" s="56"/>
      <c r="BYL2" s="56"/>
      <c r="BYM2" s="56"/>
      <c r="BYN2" s="56"/>
      <c r="BYO2" s="56"/>
      <c r="BYP2" s="56"/>
      <c r="BYQ2" s="56"/>
      <c r="BYR2" s="56"/>
      <c r="BYS2" s="56"/>
      <c r="BYT2" s="56"/>
      <c r="BYU2" s="56"/>
      <c r="BYV2" s="56"/>
      <c r="BYW2" s="56"/>
      <c r="BYX2" s="56"/>
      <c r="BYY2" s="56"/>
      <c r="BYZ2" s="56"/>
      <c r="BZA2" s="56"/>
      <c r="BZB2" s="56"/>
      <c r="BZC2" s="56"/>
      <c r="BZD2" s="56"/>
      <c r="BZE2" s="56"/>
      <c r="BZF2" s="56"/>
      <c r="BZG2" s="56"/>
      <c r="BZH2" s="56"/>
      <c r="BZI2" s="56"/>
      <c r="BZJ2" s="56"/>
      <c r="BZK2" s="56"/>
      <c r="BZL2" s="56"/>
      <c r="BZM2" s="56"/>
      <c r="BZN2" s="56"/>
      <c r="BZO2" s="56"/>
      <c r="BZP2" s="56"/>
      <c r="BZQ2" s="56"/>
      <c r="BZR2" s="56"/>
      <c r="BZS2" s="56"/>
      <c r="BZT2" s="56"/>
      <c r="BZU2" s="56"/>
      <c r="BZV2" s="56"/>
      <c r="BZW2" s="56"/>
      <c r="BZX2" s="56"/>
      <c r="BZY2" s="56"/>
      <c r="BZZ2" s="56"/>
      <c r="CAA2" s="56"/>
      <c r="CAB2" s="56"/>
      <c r="CAC2" s="56"/>
      <c r="CAD2" s="56"/>
      <c r="CAE2" s="56"/>
      <c r="CAF2" s="56"/>
      <c r="CAG2" s="56"/>
      <c r="CAH2" s="56"/>
      <c r="CAI2" s="56"/>
      <c r="CAJ2" s="56"/>
      <c r="CAK2" s="56"/>
      <c r="CAL2" s="56"/>
      <c r="CAM2" s="56"/>
      <c r="CAN2" s="56"/>
      <c r="CAO2" s="56"/>
      <c r="CAP2" s="56"/>
      <c r="CAQ2" s="56"/>
      <c r="CAR2" s="56"/>
      <c r="CAS2" s="56"/>
      <c r="CAT2" s="56"/>
      <c r="CAU2" s="56"/>
      <c r="CAV2" s="56"/>
      <c r="CAW2" s="56"/>
      <c r="CAX2" s="56"/>
      <c r="CAY2" s="56"/>
      <c r="CAZ2" s="56"/>
      <c r="CBA2" s="56"/>
      <c r="CBB2" s="56"/>
      <c r="CBC2" s="56"/>
      <c r="CBD2" s="56"/>
      <c r="CBE2" s="56"/>
      <c r="CBF2" s="56"/>
      <c r="CBG2" s="56"/>
      <c r="CBH2" s="56"/>
      <c r="CBI2" s="56"/>
      <c r="CBJ2" s="56"/>
      <c r="CBK2" s="56"/>
      <c r="CBL2" s="56"/>
      <c r="CBM2" s="56"/>
      <c r="CBN2" s="56"/>
      <c r="CBO2" s="56"/>
      <c r="CBP2" s="56"/>
      <c r="CBQ2" s="56"/>
      <c r="CBR2" s="56"/>
      <c r="CBS2" s="56"/>
      <c r="CBT2" s="56"/>
      <c r="CBU2" s="56"/>
      <c r="CBV2" s="56"/>
      <c r="CBW2" s="56"/>
      <c r="CBX2" s="56"/>
      <c r="CBY2" s="56"/>
      <c r="CBZ2" s="56"/>
      <c r="CCA2" s="56"/>
      <c r="CCB2" s="56"/>
      <c r="CCC2" s="56"/>
      <c r="CCD2" s="56"/>
      <c r="CCE2" s="56"/>
      <c r="CCF2" s="56"/>
      <c r="CCG2" s="56"/>
      <c r="CCH2" s="56"/>
      <c r="CCI2" s="56"/>
      <c r="CCJ2" s="56"/>
      <c r="CCK2" s="56"/>
      <c r="CCL2" s="56"/>
      <c r="CCM2" s="56"/>
      <c r="CCN2" s="56"/>
      <c r="CCO2" s="56"/>
      <c r="CCP2" s="56"/>
      <c r="CCQ2" s="56"/>
      <c r="CCR2" s="56"/>
      <c r="CCS2" s="56"/>
      <c r="CCT2" s="56"/>
      <c r="CCU2" s="56"/>
      <c r="CCV2" s="56"/>
      <c r="CCW2" s="56"/>
      <c r="CCX2" s="56"/>
      <c r="CCY2" s="56"/>
      <c r="CCZ2" s="56"/>
      <c r="CDA2" s="56"/>
      <c r="CDB2" s="56"/>
      <c r="CDC2" s="56"/>
      <c r="CDD2" s="56"/>
      <c r="CDE2" s="56"/>
      <c r="CDF2" s="56"/>
      <c r="CDG2" s="56"/>
      <c r="CDH2" s="56"/>
      <c r="CDI2" s="56"/>
      <c r="CDJ2" s="56"/>
      <c r="CDK2" s="56"/>
      <c r="CDL2" s="56"/>
      <c r="CDM2" s="56"/>
      <c r="CDN2" s="56"/>
      <c r="CDO2" s="56"/>
      <c r="CDP2" s="56"/>
      <c r="CDQ2" s="56"/>
      <c r="CDR2" s="56"/>
      <c r="CDS2" s="56"/>
      <c r="CDT2" s="56"/>
      <c r="CDU2" s="56"/>
      <c r="CDV2" s="56"/>
      <c r="CDW2" s="56"/>
      <c r="CDX2" s="56"/>
      <c r="CDY2" s="56"/>
      <c r="CDZ2" s="56"/>
      <c r="CEA2" s="56"/>
      <c r="CEB2" s="56"/>
      <c r="CEC2" s="56"/>
      <c r="CED2" s="56"/>
      <c r="CEE2" s="56"/>
      <c r="CEF2" s="56"/>
      <c r="CEG2" s="56"/>
      <c r="CEH2" s="56"/>
      <c r="CEI2" s="56"/>
      <c r="CEJ2" s="56"/>
      <c r="CEK2" s="56"/>
      <c r="CEL2" s="56"/>
      <c r="CEM2" s="56"/>
      <c r="CEN2" s="56"/>
      <c r="CEO2" s="56"/>
      <c r="CEP2" s="56"/>
      <c r="CEQ2" s="56"/>
      <c r="CER2" s="56"/>
      <c r="CES2" s="56"/>
      <c r="CET2" s="56"/>
      <c r="CEU2" s="56"/>
      <c r="CEV2" s="56"/>
      <c r="CEW2" s="56"/>
      <c r="CEX2" s="56"/>
      <c r="CEY2" s="56"/>
      <c r="CEZ2" s="56"/>
      <c r="CFA2" s="56"/>
      <c r="CFB2" s="56"/>
      <c r="CFC2" s="56"/>
      <c r="CFD2" s="56"/>
      <c r="CFE2" s="56"/>
      <c r="CFF2" s="56"/>
      <c r="CFG2" s="56"/>
      <c r="CFH2" s="56"/>
      <c r="CFI2" s="56"/>
      <c r="CFJ2" s="56"/>
      <c r="CFK2" s="56"/>
      <c r="CFL2" s="56"/>
      <c r="CFM2" s="56"/>
      <c r="CFN2" s="56"/>
      <c r="CFO2" s="56"/>
      <c r="CFP2" s="56"/>
      <c r="CFQ2" s="56"/>
      <c r="CFR2" s="56"/>
      <c r="CFS2" s="56"/>
      <c r="CFT2" s="56"/>
      <c r="CFU2" s="56"/>
      <c r="CFV2" s="56"/>
      <c r="CFW2" s="56"/>
      <c r="CFX2" s="56"/>
      <c r="CFY2" s="56"/>
      <c r="CFZ2" s="56"/>
      <c r="CGA2" s="56"/>
      <c r="CGB2" s="56"/>
      <c r="CGC2" s="56"/>
      <c r="CGD2" s="56"/>
      <c r="CGE2" s="56"/>
      <c r="CGF2" s="56"/>
      <c r="CGG2" s="56"/>
      <c r="CGH2" s="56"/>
      <c r="CGI2" s="56"/>
      <c r="CGJ2" s="56"/>
      <c r="CGK2" s="56"/>
      <c r="CGL2" s="56"/>
      <c r="CGM2" s="56"/>
      <c r="CGN2" s="56"/>
      <c r="CGO2" s="56"/>
      <c r="CGP2" s="56"/>
      <c r="CGQ2" s="56"/>
      <c r="CGR2" s="56"/>
      <c r="CGS2" s="56"/>
      <c r="CGT2" s="56"/>
      <c r="CGU2" s="56"/>
      <c r="CGV2" s="56"/>
      <c r="CGW2" s="56"/>
      <c r="CGX2" s="56"/>
      <c r="CGY2" s="56"/>
      <c r="CGZ2" s="56"/>
      <c r="CHA2" s="56"/>
      <c r="CHB2" s="56"/>
      <c r="CHC2" s="56"/>
      <c r="CHD2" s="56"/>
      <c r="CHE2" s="56"/>
      <c r="CHF2" s="56"/>
      <c r="CHG2" s="56"/>
      <c r="CHH2" s="56"/>
      <c r="CHI2" s="56"/>
      <c r="CHJ2" s="56"/>
      <c r="CHK2" s="56"/>
      <c r="CHL2" s="56"/>
      <c r="CHM2" s="56"/>
      <c r="CHN2" s="56"/>
      <c r="CHO2" s="56"/>
      <c r="CHP2" s="56"/>
      <c r="CHQ2" s="56"/>
      <c r="CHR2" s="56"/>
      <c r="CHS2" s="56"/>
      <c r="CHT2" s="56"/>
      <c r="CHU2" s="56"/>
      <c r="CHV2" s="56"/>
      <c r="CHW2" s="56"/>
      <c r="CHX2" s="56"/>
      <c r="CHY2" s="56"/>
      <c r="CHZ2" s="56"/>
      <c r="CIA2" s="56"/>
      <c r="CIB2" s="56"/>
      <c r="CIC2" s="56"/>
      <c r="CID2" s="56"/>
      <c r="CIE2" s="56"/>
      <c r="CIF2" s="56"/>
      <c r="CIG2" s="56"/>
      <c r="CIH2" s="56"/>
      <c r="CII2" s="56"/>
      <c r="CIJ2" s="56"/>
      <c r="CIK2" s="56"/>
      <c r="CIL2" s="56"/>
      <c r="CIM2" s="56"/>
      <c r="CIN2" s="56"/>
      <c r="CIO2" s="56"/>
      <c r="CIP2" s="56"/>
      <c r="CIQ2" s="56"/>
      <c r="CIR2" s="56"/>
      <c r="CIS2" s="56"/>
      <c r="CIT2" s="56"/>
      <c r="CIU2" s="56"/>
      <c r="CIV2" s="56"/>
      <c r="CIW2" s="56"/>
      <c r="CIX2" s="56"/>
      <c r="CIY2" s="56"/>
      <c r="CIZ2" s="56"/>
      <c r="CJA2" s="56"/>
      <c r="CJB2" s="56"/>
      <c r="CJC2" s="56"/>
      <c r="CJD2" s="56"/>
      <c r="CJE2" s="56"/>
      <c r="CJF2" s="56"/>
      <c r="CJG2" s="56"/>
      <c r="CJH2" s="56"/>
      <c r="CJI2" s="56"/>
      <c r="CJJ2" s="56"/>
      <c r="CJK2" s="56"/>
      <c r="CJL2" s="56"/>
      <c r="CJM2" s="56"/>
      <c r="CJN2" s="56"/>
      <c r="CJO2" s="56"/>
      <c r="CJP2" s="56"/>
      <c r="CJQ2" s="56"/>
      <c r="CJR2" s="56"/>
      <c r="CJS2" s="56"/>
      <c r="CJT2" s="56"/>
      <c r="CJU2" s="56"/>
      <c r="CJV2" s="56"/>
      <c r="CJW2" s="56"/>
      <c r="CJX2" s="56"/>
      <c r="CJY2" s="56"/>
      <c r="CJZ2" s="56"/>
      <c r="CKA2" s="56"/>
      <c r="CKB2" s="56"/>
      <c r="CKC2" s="56"/>
      <c r="CKD2" s="56"/>
      <c r="CKE2" s="56"/>
      <c r="CKF2" s="56"/>
      <c r="CKG2" s="56"/>
      <c r="CKH2" s="56"/>
      <c r="CKI2" s="56"/>
      <c r="CKJ2" s="56"/>
      <c r="CKK2" s="56"/>
      <c r="CKL2" s="56"/>
      <c r="CKM2" s="56"/>
      <c r="CKN2" s="56"/>
      <c r="CKO2" s="56"/>
      <c r="CKP2" s="56"/>
      <c r="CKQ2" s="56"/>
      <c r="CKR2" s="56"/>
      <c r="CKS2" s="56"/>
      <c r="CKT2" s="56"/>
      <c r="CKU2" s="56"/>
      <c r="CKV2" s="56"/>
      <c r="CKW2" s="56"/>
      <c r="CKX2" s="56"/>
      <c r="CKY2" s="56"/>
      <c r="CKZ2" s="56"/>
      <c r="CLA2" s="56"/>
      <c r="CLB2" s="56"/>
      <c r="CLC2" s="56"/>
      <c r="CLD2" s="56"/>
      <c r="CLE2" s="56"/>
      <c r="CLF2" s="56"/>
      <c r="CLG2" s="56"/>
      <c r="CLH2" s="56"/>
      <c r="CLI2" s="56"/>
      <c r="CLJ2" s="56"/>
      <c r="CLK2" s="56"/>
      <c r="CLL2" s="56"/>
      <c r="CLM2" s="56"/>
      <c r="CLN2" s="56"/>
      <c r="CLO2" s="56"/>
      <c r="CLP2" s="56"/>
      <c r="CLQ2" s="56"/>
      <c r="CLR2" s="56"/>
      <c r="CLS2" s="56"/>
      <c r="CLT2" s="56"/>
      <c r="CLU2" s="56"/>
      <c r="CLV2" s="56"/>
      <c r="CLW2" s="56"/>
      <c r="CLX2" s="56"/>
      <c r="CLY2" s="56"/>
      <c r="CLZ2" s="56"/>
      <c r="CMA2" s="56"/>
      <c r="CMB2" s="56"/>
      <c r="CMC2" s="56"/>
      <c r="CMD2" s="56"/>
      <c r="CME2" s="56"/>
      <c r="CMF2" s="56"/>
      <c r="CMG2" s="56"/>
      <c r="CMH2" s="56"/>
      <c r="CMI2" s="56"/>
      <c r="CMJ2" s="56"/>
      <c r="CMK2" s="56"/>
      <c r="CML2" s="56"/>
      <c r="CMM2" s="56"/>
      <c r="CMN2" s="56"/>
      <c r="CMO2" s="56"/>
      <c r="CMP2" s="56"/>
      <c r="CMQ2" s="56"/>
      <c r="CMR2" s="56"/>
      <c r="CMS2" s="56"/>
      <c r="CMT2" s="56"/>
      <c r="CMU2" s="56"/>
      <c r="CMV2" s="56"/>
      <c r="CMW2" s="56"/>
      <c r="CMX2" s="56"/>
      <c r="CMY2" s="56"/>
      <c r="CMZ2" s="56"/>
      <c r="CNA2" s="56"/>
      <c r="CNB2" s="56"/>
      <c r="CNC2" s="56"/>
      <c r="CND2" s="56"/>
      <c r="CNE2" s="56"/>
      <c r="CNF2" s="56"/>
      <c r="CNG2" s="56"/>
      <c r="CNH2" s="56"/>
      <c r="CNI2" s="56"/>
      <c r="CNJ2" s="56"/>
      <c r="CNK2" s="56"/>
      <c r="CNL2" s="56"/>
      <c r="CNM2" s="56"/>
      <c r="CNN2" s="56"/>
      <c r="CNO2" s="56"/>
      <c r="CNP2" s="56"/>
      <c r="CNQ2" s="56"/>
      <c r="CNR2" s="56"/>
      <c r="CNS2" s="56"/>
      <c r="CNT2" s="56"/>
      <c r="CNU2" s="56"/>
      <c r="CNV2" s="56"/>
      <c r="CNW2" s="56"/>
      <c r="CNX2" s="56"/>
      <c r="CNY2" s="56"/>
      <c r="CNZ2" s="56"/>
      <c r="COA2" s="56"/>
      <c r="COB2" s="56"/>
      <c r="COC2" s="56"/>
      <c r="COD2" s="56"/>
      <c r="COE2" s="56"/>
      <c r="COF2" s="56"/>
      <c r="COG2" s="56"/>
      <c r="COH2" s="56"/>
      <c r="COI2" s="56"/>
      <c r="COJ2" s="56"/>
      <c r="COK2" s="56"/>
      <c r="COL2" s="56"/>
      <c r="COM2" s="56"/>
      <c r="CON2" s="56"/>
      <c r="COO2" s="56"/>
      <c r="COP2" s="56"/>
      <c r="COQ2" s="56"/>
      <c r="COR2" s="56"/>
      <c r="COS2" s="56"/>
      <c r="COT2" s="56"/>
      <c r="COU2" s="56"/>
      <c r="COV2" s="56"/>
      <c r="COW2" s="56"/>
      <c r="COX2" s="56"/>
      <c r="COY2" s="56"/>
      <c r="COZ2" s="56"/>
      <c r="CPA2" s="56"/>
      <c r="CPB2" s="56"/>
      <c r="CPC2" s="56"/>
      <c r="CPD2" s="56"/>
      <c r="CPE2" s="56"/>
      <c r="CPF2" s="56"/>
      <c r="CPG2" s="56"/>
      <c r="CPH2" s="56"/>
      <c r="CPI2" s="56"/>
      <c r="CPJ2" s="56"/>
      <c r="CPK2" s="56"/>
      <c r="CPL2" s="56"/>
      <c r="CPM2" s="56"/>
      <c r="CPN2" s="56"/>
      <c r="CPO2" s="56"/>
      <c r="CPP2" s="56"/>
      <c r="CPQ2" s="56"/>
      <c r="CPR2" s="56"/>
      <c r="CPS2" s="56"/>
      <c r="CPT2" s="56"/>
      <c r="CPU2" s="56"/>
      <c r="CPV2" s="56"/>
      <c r="CPW2" s="56"/>
      <c r="CPX2" s="56"/>
      <c r="CPY2" s="56"/>
      <c r="CPZ2" s="56"/>
      <c r="CQA2" s="56"/>
      <c r="CQB2" s="56"/>
      <c r="CQC2" s="56"/>
      <c r="CQD2" s="56"/>
      <c r="CQE2" s="56"/>
      <c r="CQF2" s="56"/>
      <c r="CQG2" s="56"/>
      <c r="CQH2" s="56"/>
      <c r="CQI2" s="56"/>
      <c r="CQJ2" s="56"/>
      <c r="CQK2" s="56"/>
      <c r="CQL2" s="56"/>
      <c r="CQM2" s="56"/>
      <c r="CQN2" s="56"/>
      <c r="CQO2" s="56"/>
      <c r="CQP2" s="56"/>
      <c r="CQQ2" s="56"/>
      <c r="CQR2" s="56"/>
      <c r="CQS2" s="56"/>
      <c r="CQT2" s="56"/>
      <c r="CQU2" s="56"/>
      <c r="CQV2" s="56"/>
      <c r="CQW2" s="56"/>
      <c r="CQX2" s="56"/>
      <c r="CQY2" s="56"/>
      <c r="CQZ2" s="56"/>
      <c r="CRA2" s="56"/>
      <c r="CRB2" s="56"/>
      <c r="CRC2" s="56"/>
      <c r="CRD2" s="56"/>
      <c r="CRE2" s="56"/>
      <c r="CRF2" s="56"/>
      <c r="CRG2" s="56"/>
      <c r="CRH2" s="56"/>
      <c r="CRI2" s="56"/>
      <c r="CRJ2" s="56"/>
      <c r="CRK2" s="56"/>
      <c r="CRL2" s="56"/>
      <c r="CRM2" s="56"/>
      <c r="CRN2" s="56"/>
      <c r="CRO2" s="56"/>
      <c r="CRP2" s="56"/>
      <c r="CRQ2" s="56"/>
      <c r="CRR2" s="56"/>
      <c r="CRS2" s="56"/>
      <c r="CRT2" s="56"/>
      <c r="CRU2" s="56"/>
      <c r="CRV2" s="56"/>
      <c r="CRW2" s="56"/>
      <c r="CRX2" s="56"/>
      <c r="CRY2" s="56"/>
      <c r="CRZ2" s="56"/>
      <c r="CSA2" s="56"/>
      <c r="CSB2" s="56"/>
      <c r="CSC2" s="56"/>
      <c r="CSD2" s="56"/>
      <c r="CSE2" s="56"/>
      <c r="CSF2" s="56"/>
      <c r="CSG2" s="56"/>
      <c r="CSH2" s="56"/>
      <c r="CSI2" s="56"/>
      <c r="CSJ2" s="56"/>
      <c r="CSK2" s="56"/>
      <c r="CSL2" s="56"/>
      <c r="CSM2" s="56"/>
      <c r="CSN2" s="56"/>
      <c r="CSO2" s="56"/>
      <c r="CSP2" s="56"/>
      <c r="CSQ2" s="56"/>
      <c r="CSR2" s="56"/>
      <c r="CSS2" s="56"/>
      <c r="CST2" s="56"/>
      <c r="CSU2" s="56"/>
      <c r="CSV2" s="56"/>
      <c r="CSW2" s="56"/>
      <c r="CSX2" s="56"/>
      <c r="CSY2" s="56"/>
      <c r="CSZ2" s="56"/>
      <c r="CTA2" s="56"/>
      <c r="CTB2" s="56"/>
      <c r="CTC2" s="56"/>
      <c r="CTD2" s="56"/>
      <c r="CTE2" s="56"/>
      <c r="CTF2" s="56"/>
      <c r="CTG2" s="56"/>
      <c r="CTH2" s="56"/>
      <c r="CTI2" s="56"/>
      <c r="CTJ2" s="56"/>
      <c r="CTK2" s="56"/>
      <c r="CTL2" s="56"/>
      <c r="CTM2" s="56"/>
      <c r="CTN2" s="56"/>
      <c r="CTO2" s="56"/>
      <c r="CTP2" s="56"/>
      <c r="CTQ2" s="56"/>
      <c r="CTR2" s="56"/>
      <c r="CTS2" s="56"/>
      <c r="CTT2" s="56"/>
      <c r="CTU2" s="56"/>
      <c r="CTV2" s="56"/>
      <c r="CTW2" s="56"/>
      <c r="CTX2" s="56"/>
      <c r="CTY2" s="56"/>
      <c r="CTZ2" s="56"/>
      <c r="CUA2" s="56"/>
      <c r="CUB2" s="56"/>
      <c r="CUC2" s="56"/>
      <c r="CUD2" s="56"/>
      <c r="CUE2" s="56"/>
      <c r="CUF2" s="56"/>
      <c r="CUG2" s="56"/>
      <c r="CUH2" s="56"/>
      <c r="CUI2" s="56"/>
      <c r="CUJ2" s="56"/>
      <c r="CUK2" s="56"/>
      <c r="CUL2" s="56"/>
      <c r="CUM2" s="56"/>
      <c r="CUN2" s="56"/>
      <c r="CUO2" s="56"/>
      <c r="CUP2" s="56"/>
      <c r="CUQ2" s="56"/>
      <c r="CUR2" s="56"/>
      <c r="CUS2" s="56"/>
      <c r="CUT2" s="56"/>
      <c r="CUU2" s="56"/>
      <c r="CUV2" s="56"/>
      <c r="CUW2" s="56"/>
      <c r="CUX2" s="56"/>
      <c r="CUY2" s="56"/>
      <c r="CUZ2" s="56"/>
      <c r="CVA2" s="56"/>
      <c r="CVB2" s="56"/>
      <c r="CVC2" s="56"/>
      <c r="CVD2" s="56"/>
      <c r="CVE2" s="56"/>
      <c r="CVF2" s="56"/>
      <c r="CVG2" s="56"/>
      <c r="CVH2" s="56"/>
      <c r="CVI2" s="56"/>
      <c r="CVJ2" s="56"/>
      <c r="CVK2" s="56"/>
      <c r="CVL2" s="56"/>
      <c r="CVM2" s="56"/>
      <c r="CVN2" s="56"/>
      <c r="CVO2" s="56"/>
      <c r="CVP2" s="56"/>
      <c r="CVQ2" s="56"/>
      <c r="CVR2" s="56"/>
      <c r="CVS2" s="56"/>
      <c r="CVT2" s="56"/>
      <c r="CVU2" s="56"/>
      <c r="CVV2" s="56"/>
      <c r="CVW2" s="56"/>
      <c r="CVX2" s="56"/>
      <c r="CVY2" s="56"/>
      <c r="CVZ2" s="56"/>
      <c r="CWA2" s="56"/>
      <c r="CWB2" s="56"/>
      <c r="CWC2" s="56"/>
      <c r="CWD2" s="56"/>
      <c r="CWE2" s="56"/>
      <c r="CWF2" s="56"/>
      <c r="CWG2" s="56"/>
      <c r="CWH2" s="56"/>
      <c r="CWI2" s="56"/>
      <c r="CWJ2" s="56"/>
      <c r="CWK2" s="56"/>
      <c r="CWL2" s="56"/>
      <c r="CWM2" s="56"/>
      <c r="CWN2" s="56"/>
      <c r="CWO2" s="56"/>
      <c r="CWP2" s="56"/>
      <c r="CWQ2" s="56"/>
      <c r="CWR2" s="56"/>
      <c r="CWS2" s="56"/>
      <c r="CWT2" s="56"/>
      <c r="CWU2" s="56"/>
      <c r="CWV2" s="56"/>
      <c r="CWW2" s="56"/>
      <c r="CWX2" s="56"/>
      <c r="CWY2" s="56"/>
      <c r="CWZ2" s="56"/>
      <c r="CXA2" s="56"/>
      <c r="CXB2" s="56"/>
      <c r="CXC2" s="56"/>
      <c r="CXD2" s="56"/>
      <c r="CXE2" s="56"/>
      <c r="CXF2" s="56"/>
      <c r="CXG2" s="56"/>
      <c r="CXH2" s="56"/>
      <c r="CXI2" s="56"/>
      <c r="CXJ2" s="56"/>
      <c r="CXK2" s="56"/>
      <c r="CXL2" s="56"/>
      <c r="CXM2" s="56"/>
      <c r="CXN2" s="56"/>
      <c r="CXO2" s="56"/>
      <c r="CXP2" s="56"/>
      <c r="CXQ2" s="56"/>
      <c r="CXR2" s="56"/>
      <c r="CXS2" s="56"/>
      <c r="CXT2" s="56"/>
      <c r="CXU2" s="56"/>
      <c r="CXV2" s="56"/>
      <c r="CXW2" s="56"/>
      <c r="CXX2" s="56"/>
      <c r="CXY2" s="56"/>
      <c r="CXZ2" s="56"/>
      <c r="CYA2" s="56"/>
      <c r="CYB2" s="56"/>
      <c r="CYC2" s="56"/>
      <c r="CYD2" s="56"/>
      <c r="CYE2" s="56"/>
      <c r="CYF2" s="56"/>
      <c r="CYG2" s="56"/>
      <c r="CYH2" s="56"/>
      <c r="CYI2" s="56"/>
      <c r="CYJ2" s="56"/>
      <c r="CYK2" s="56"/>
      <c r="CYL2" s="56"/>
      <c r="CYM2" s="56"/>
      <c r="CYN2" s="56"/>
      <c r="CYO2" s="56"/>
      <c r="CYP2" s="56"/>
      <c r="CYQ2" s="56"/>
      <c r="CYR2" s="56"/>
      <c r="CYS2" s="56"/>
      <c r="CYT2" s="56"/>
      <c r="CYU2" s="56"/>
      <c r="CYV2" s="56"/>
      <c r="CYW2" s="56"/>
      <c r="CYX2" s="56"/>
      <c r="CYY2" s="56"/>
      <c r="CYZ2" s="56"/>
      <c r="CZA2" s="56"/>
      <c r="CZB2" s="56"/>
      <c r="CZC2" s="56"/>
      <c r="CZD2" s="56"/>
      <c r="CZE2" s="56"/>
      <c r="CZF2" s="56"/>
      <c r="CZG2" s="56"/>
      <c r="CZH2" s="56"/>
      <c r="CZI2" s="56"/>
      <c r="CZJ2" s="56"/>
      <c r="CZK2" s="56"/>
      <c r="CZL2" s="56"/>
      <c r="CZM2" s="56"/>
      <c r="CZN2" s="56"/>
      <c r="CZO2" s="56"/>
      <c r="CZP2" s="56"/>
      <c r="CZQ2" s="56"/>
      <c r="CZR2" s="56"/>
      <c r="CZS2" s="56"/>
      <c r="CZT2" s="56"/>
      <c r="CZU2" s="56"/>
      <c r="CZV2" s="56"/>
      <c r="CZW2" s="56"/>
      <c r="CZX2" s="56"/>
      <c r="CZY2" s="56"/>
      <c r="CZZ2" s="56"/>
      <c r="DAA2" s="56"/>
      <c r="DAB2" s="56"/>
      <c r="DAC2" s="56"/>
      <c r="DAD2" s="56"/>
      <c r="DAE2" s="56"/>
      <c r="DAF2" s="56"/>
      <c r="DAG2" s="56"/>
      <c r="DAH2" s="56"/>
      <c r="DAI2" s="56"/>
      <c r="DAJ2" s="56"/>
      <c r="DAK2" s="56"/>
      <c r="DAL2" s="56"/>
      <c r="DAM2" s="56"/>
      <c r="DAN2" s="56"/>
      <c r="DAO2" s="56"/>
      <c r="DAP2" s="56"/>
      <c r="DAQ2" s="56"/>
      <c r="DAR2" s="56"/>
      <c r="DAS2" s="56"/>
      <c r="DAT2" s="56"/>
      <c r="DAU2" s="56"/>
      <c r="DAV2" s="56"/>
      <c r="DAW2" s="56"/>
      <c r="DAX2" s="56"/>
      <c r="DAY2" s="56"/>
      <c r="DAZ2" s="56"/>
      <c r="DBA2" s="56"/>
      <c r="DBB2" s="56"/>
      <c r="DBC2" s="56"/>
      <c r="DBD2" s="56"/>
      <c r="DBE2" s="56"/>
      <c r="DBF2" s="56"/>
      <c r="DBG2" s="56"/>
      <c r="DBH2" s="56"/>
      <c r="DBI2" s="56"/>
      <c r="DBJ2" s="56"/>
      <c r="DBK2" s="56"/>
      <c r="DBL2" s="56"/>
      <c r="DBM2" s="56"/>
      <c r="DBN2" s="56"/>
      <c r="DBO2" s="56"/>
      <c r="DBP2" s="56"/>
      <c r="DBQ2" s="56"/>
      <c r="DBR2" s="56"/>
      <c r="DBS2" s="56"/>
      <c r="DBT2" s="56"/>
      <c r="DBU2" s="56"/>
      <c r="DBV2" s="56"/>
      <c r="DBW2" s="56"/>
      <c r="DBX2" s="56"/>
      <c r="DBY2" s="56"/>
      <c r="DBZ2" s="56"/>
      <c r="DCA2" s="56"/>
      <c r="DCB2" s="56"/>
      <c r="DCC2" s="56"/>
      <c r="DCD2" s="56"/>
      <c r="DCE2" s="56"/>
      <c r="DCF2" s="56"/>
      <c r="DCG2" s="56"/>
      <c r="DCH2" s="56"/>
      <c r="DCI2" s="56"/>
      <c r="DCJ2" s="56"/>
      <c r="DCK2" s="56"/>
      <c r="DCL2" s="56"/>
      <c r="DCM2" s="56"/>
      <c r="DCN2" s="56"/>
      <c r="DCO2" s="56"/>
      <c r="DCP2" s="56"/>
      <c r="DCQ2" s="56"/>
      <c r="DCR2" s="56"/>
      <c r="DCS2" s="56"/>
      <c r="DCT2" s="56"/>
      <c r="DCU2" s="56"/>
      <c r="DCV2" s="56"/>
      <c r="DCW2" s="56"/>
      <c r="DCX2" s="56"/>
      <c r="DCY2" s="56"/>
      <c r="DCZ2" s="56"/>
      <c r="DDA2" s="56"/>
      <c r="DDB2" s="56"/>
      <c r="DDC2" s="56"/>
      <c r="DDD2" s="56"/>
      <c r="DDE2" s="56"/>
      <c r="DDF2" s="56"/>
      <c r="DDG2" s="56"/>
      <c r="DDH2" s="56"/>
      <c r="DDI2" s="56"/>
      <c r="DDJ2" s="56"/>
      <c r="DDK2" s="56"/>
      <c r="DDL2" s="56"/>
      <c r="DDM2" s="56"/>
      <c r="DDN2" s="56"/>
      <c r="DDO2" s="56"/>
      <c r="DDP2" s="56"/>
      <c r="DDQ2" s="56"/>
      <c r="DDR2" s="56"/>
      <c r="DDS2" s="56"/>
      <c r="DDT2" s="56"/>
      <c r="DDU2" s="56"/>
      <c r="DDV2" s="56"/>
      <c r="DDW2" s="56"/>
      <c r="DDX2" s="56"/>
      <c r="DDY2" s="56"/>
      <c r="DDZ2" s="56"/>
      <c r="DEA2" s="56"/>
      <c r="DEB2" s="56"/>
      <c r="DEC2" s="56"/>
      <c r="DED2" s="56"/>
      <c r="DEE2" s="56"/>
      <c r="DEF2" s="56"/>
      <c r="DEG2" s="56"/>
      <c r="DEH2" s="56"/>
      <c r="DEI2" s="56"/>
      <c r="DEJ2" s="56"/>
      <c r="DEK2" s="56"/>
      <c r="DEL2" s="56"/>
      <c r="DEM2" s="56"/>
      <c r="DEN2" s="56"/>
      <c r="DEO2" s="56"/>
      <c r="DEP2" s="56"/>
      <c r="DEQ2" s="56"/>
      <c r="DER2" s="56"/>
      <c r="DES2" s="56"/>
      <c r="DET2" s="56"/>
      <c r="DEU2" s="56"/>
      <c r="DEV2" s="56"/>
      <c r="DEW2" s="56"/>
      <c r="DEX2" s="56"/>
      <c r="DEY2" s="56"/>
      <c r="DEZ2" s="56"/>
      <c r="DFA2" s="56"/>
      <c r="DFB2" s="56"/>
      <c r="DFC2" s="56"/>
      <c r="DFD2" s="56"/>
      <c r="DFE2" s="56"/>
      <c r="DFF2" s="56"/>
      <c r="DFG2" s="56"/>
      <c r="DFH2" s="56"/>
      <c r="DFI2" s="56"/>
      <c r="DFJ2" s="56"/>
      <c r="DFK2" s="56"/>
      <c r="DFL2" s="56"/>
      <c r="DFM2" s="56"/>
      <c r="DFN2" s="56"/>
      <c r="DFO2" s="56"/>
      <c r="DFP2" s="56"/>
      <c r="DFQ2" s="56"/>
      <c r="DFR2" s="56"/>
      <c r="DFS2" s="56"/>
      <c r="DFT2" s="56"/>
      <c r="DFU2" s="56"/>
      <c r="DFV2" s="56"/>
      <c r="DFW2" s="56"/>
      <c r="DFX2" s="56"/>
      <c r="DFY2" s="56"/>
      <c r="DFZ2" s="56"/>
      <c r="DGA2" s="56"/>
      <c r="DGB2" s="56"/>
      <c r="DGC2" s="56"/>
      <c r="DGD2" s="56"/>
      <c r="DGE2" s="56"/>
      <c r="DGF2" s="56"/>
      <c r="DGG2" s="56"/>
      <c r="DGH2" s="56"/>
      <c r="DGI2" s="56"/>
      <c r="DGJ2" s="56"/>
      <c r="DGK2" s="56"/>
      <c r="DGL2" s="56"/>
      <c r="DGM2" s="56"/>
      <c r="DGN2" s="56"/>
      <c r="DGO2" s="56"/>
      <c r="DGP2" s="56"/>
      <c r="DGQ2" s="56"/>
      <c r="DGR2" s="56"/>
      <c r="DGS2" s="56"/>
      <c r="DGT2" s="56"/>
      <c r="DGU2" s="56"/>
      <c r="DGV2" s="56"/>
      <c r="DGW2" s="56"/>
      <c r="DGX2" s="56"/>
      <c r="DGY2" s="56"/>
      <c r="DGZ2" s="56"/>
      <c r="DHA2" s="56"/>
      <c r="DHB2" s="56"/>
      <c r="DHC2" s="56"/>
      <c r="DHD2" s="56"/>
      <c r="DHE2" s="56"/>
      <c r="DHF2" s="56"/>
      <c r="DHG2" s="56"/>
      <c r="DHH2" s="56"/>
      <c r="DHI2" s="56"/>
      <c r="DHJ2" s="56"/>
      <c r="DHK2" s="56"/>
      <c r="DHL2" s="56"/>
      <c r="DHM2" s="56"/>
      <c r="DHN2" s="56"/>
      <c r="DHO2" s="56"/>
      <c r="DHP2" s="56"/>
      <c r="DHQ2" s="56"/>
      <c r="DHR2" s="56"/>
      <c r="DHS2" s="56"/>
      <c r="DHT2" s="56"/>
      <c r="DHU2" s="56"/>
      <c r="DHV2" s="56"/>
      <c r="DHW2" s="56"/>
      <c r="DHX2" s="56"/>
      <c r="DHY2" s="56"/>
      <c r="DHZ2" s="56"/>
      <c r="DIA2" s="56"/>
      <c r="DIB2" s="56"/>
      <c r="DIC2" s="56"/>
      <c r="DID2" s="56"/>
      <c r="DIE2" s="56"/>
      <c r="DIF2" s="56"/>
      <c r="DIG2" s="56"/>
      <c r="DIH2" s="56"/>
      <c r="DII2" s="56"/>
      <c r="DIJ2" s="56"/>
      <c r="DIK2" s="56"/>
      <c r="DIL2" s="56"/>
      <c r="DIM2" s="56"/>
      <c r="DIN2" s="56"/>
      <c r="DIO2" s="56"/>
      <c r="DIP2" s="56"/>
      <c r="DIQ2" s="56"/>
      <c r="DIR2" s="56"/>
      <c r="DIS2" s="56"/>
      <c r="DIT2" s="56"/>
      <c r="DIU2" s="56"/>
      <c r="DIV2" s="56"/>
      <c r="DIW2" s="56"/>
      <c r="DIX2" s="56"/>
      <c r="DIY2" s="56"/>
      <c r="DIZ2" s="56"/>
      <c r="DJA2" s="56"/>
      <c r="DJB2" s="56"/>
      <c r="DJC2" s="56"/>
      <c r="DJD2" s="56"/>
      <c r="DJE2" s="56"/>
      <c r="DJF2" s="56"/>
      <c r="DJG2" s="56"/>
      <c r="DJH2" s="56"/>
      <c r="DJI2" s="56"/>
      <c r="DJJ2" s="56"/>
      <c r="DJK2" s="56"/>
      <c r="DJL2" s="56"/>
      <c r="DJM2" s="56"/>
    </row>
    <row r="3" spans="1:2977" ht="16.7" customHeight="1" x14ac:dyDescent="0.2">
      <c r="A3" s="22" t="s">
        <v>2</v>
      </c>
      <c r="B3" s="22" t="s">
        <v>3</v>
      </c>
      <c r="C3" s="22" t="s">
        <v>4</v>
      </c>
      <c r="D3" s="23"/>
      <c r="E3" s="23"/>
      <c r="F3" s="23"/>
      <c r="G3" s="23"/>
      <c r="H3" s="23"/>
      <c r="I3" s="23"/>
      <c r="J3" s="24" t="s">
        <v>5</v>
      </c>
      <c r="K3" s="24" t="s">
        <v>6</v>
      </c>
      <c r="L3" s="24" t="s">
        <v>7</v>
      </c>
      <c r="M3" s="58" t="s">
        <v>2178</v>
      </c>
      <c r="N3" s="58" t="s">
        <v>2176</v>
      </c>
      <c r="O3" s="58" t="s">
        <v>2179</v>
      </c>
      <c r="P3" s="58" t="s">
        <v>2180</v>
      </c>
      <c r="Q3" s="58" t="s">
        <v>2181</v>
      </c>
      <c r="R3" s="58" t="s">
        <v>2182</v>
      </c>
      <c r="S3" s="58" t="s">
        <v>2183</v>
      </c>
      <c r="T3" s="58" t="s">
        <v>2184</v>
      </c>
      <c r="U3" s="58" t="s">
        <v>2185</v>
      </c>
      <c r="V3" s="58" t="s">
        <v>2186</v>
      </c>
      <c r="W3" s="58" t="s">
        <v>2187</v>
      </c>
      <c r="X3" s="58" t="s">
        <v>2188</v>
      </c>
      <c r="Y3" s="58" t="s">
        <v>2189</v>
      </c>
      <c r="Z3" s="58" t="s">
        <v>2190</v>
      </c>
      <c r="AA3" s="58" t="s">
        <v>2191</v>
      </c>
      <c r="AB3" s="58" t="s">
        <v>2192</v>
      </c>
      <c r="AC3" s="58" t="s">
        <v>2193</v>
      </c>
      <c r="AD3" s="58" t="s">
        <v>2194</v>
      </c>
      <c r="AE3" s="58" t="s">
        <v>2195</v>
      </c>
      <c r="AF3" s="58" t="s">
        <v>2196</v>
      </c>
      <c r="AG3" s="58" t="s">
        <v>2197</v>
      </c>
      <c r="AH3" s="58" t="s">
        <v>2198</v>
      </c>
      <c r="AI3" s="58" t="s">
        <v>2199</v>
      </c>
      <c r="AJ3" s="58" t="s">
        <v>2200</v>
      </c>
      <c r="AK3" s="58" t="s">
        <v>2202</v>
      </c>
      <c r="AL3" s="58" t="s">
        <v>2203</v>
      </c>
    </row>
    <row r="4" spans="1:2977" ht="15.4" hidden="1" customHeight="1" x14ac:dyDescent="0.2">
      <c r="A4" s="30" t="s">
        <v>8</v>
      </c>
      <c r="B4" s="26"/>
      <c r="C4" s="50" t="s">
        <v>9</v>
      </c>
      <c r="D4" s="50"/>
      <c r="E4" s="50"/>
      <c r="F4" s="50"/>
      <c r="G4" s="50"/>
      <c r="H4" s="50"/>
      <c r="I4" s="50"/>
      <c r="J4" s="26"/>
      <c r="K4" s="27">
        <v>0</v>
      </c>
      <c r="L4" s="27">
        <f>ROUND(K4,2)</f>
        <v>0</v>
      </c>
      <c r="M4" s="58" t="s">
        <v>2178</v>
      </c>
    </row>
    <row r="5" spans="1:2977" ht="15.4" hidden="1" customHeight="1" x14ac:dyDescent="0.2">
      <c r="A5" s="36" t="s">
        <v>10</v>
      </c>
      <c r="B5" s="32"/>
      <c r="C5" s="47" t="s">
        <v>11</v>
      </c>
      <c r="D5" s="47"/>
      <c r="E5" s="47"/>
      <c r="F5" s="47"/>
      <c r="G5" s="47"/>
      <c r="H5" s="47"/>
      <c r="I5" s="47"/>
      <c r="J5" s="32"/>
      <c r="K5" s="33">
        <v>0</v>
      </c>
      <c r="L5" s="33">
        <f>ROUND(K5,2)</f>
        <v>0</v>
      </c>
      <c r="M5" s="58" t="s">
        <v>2178</v>
      </c>
    </row>
    <row r="6" spans="1:2977" ht="15.4" hidden="1" customHeight="1" x14ac:dyDescent="0.2">
      <c r="A6" s="42" t="s">
        <v>12</v>
      </c>
      <c r="B6" s="38"/>
      <c r="C6" s="48" t="s">
        <v>13</v>
      </c>
      <c r="D6" s="48"/>
      <c r="E6" s="48"/>
      <c r="F6" s="48"/>
      <c r="G6" s="48"/>
      <c r="H6" s="48"/>
      <c r="I6" s="48"/>
      <c r="J6" s="38"/>
      <c r="K6" s="39">
        <v>0</v>
      </c>
      <c r="L6" s="39">
        <f>ROUND(K6,2)</f>
        <v>0</v>
      </c>
      <c r="M6" s="58" t="s">
        <v>2178</v>
      </c>
    </row>
    <row r="7" spans="1:2977" ht="15.4" hidden="1" customHeight="1" x14ac:dyDescent="0.2">
      <c r="A7" s="3" t="s">
        <v>14</v>
      </c>
      <c r="B7" s="2" t="s">
        <v>15</v>
      </c>
      <c r="C7" s="45" t="s">
        <v>16</v>
      </c>
      <c r="D7" s="45"/>
      <c r="E7" s="45"/>
      <c r="F7" s="45"/>
      <c r="G7" s="45"/>
      <c r="H7" s="45"/>
      <c r="I7" s="45"/>
      <c r="J7" s="4">
        <f>SUM(J10:J10)</f>
        <v>83</v>
      </c>
      <c r="K7" s="5">
        <f>ROUND(0*(1+L2/100),2)</f>
        <v>0</v>
      </c>
      <c r="L7" s="5">
        <f>ROUND(J7*K7,2)</f>
        <v>0</v>
      </c>
      <c r="M7" s="58" t="s">
        <v>2178</v>
      </c>
    </row>
    <row r="8" spans="1:2977" ht="30" hidden="1" customHeight="1" x14ac:dyDescent="0.2">
      <c r="A8" s="6"/>
      <c r="B8" s="6"/>
      <c r="C8" s="45" t="s">
        <v>17</v>
      </c>
      <c r="D8" s="45"/>
      <c r="E8" s="45"/>
      <c r="F8" s="45"/>
      <c r="G8" s="45"/>
      <c r="H8" s="45"/>
      <c r="I8" s="45"/>
      <c r="J8" s="45"/>
      <c r="K8" s="45"/>
      <c r="L8" s="45"/>
      <c r="M8" s="58" t="s">
        <v>2178</v>
      </c>
    </row>
    <row r="9" spans="1:2977" ht="15.2" hidden="1" customHeight="1" x14ac:dyDescent="0.2">
      <c r="A9" s="6"/>
      <c r="B9" s="6"/>
      <c r="C9" s="6"/>
      <c r="D9" s="7"/>
      <c r="E9" s="9" t="s">
        <v>18</v>
      </c>
      <c r="F9" s="9" t="s">
        <v>19</v>
      </c>
      <c r="G9" s="9" t="s">
        <v>20</v>
      </c>
      <c r="H9" s="9" t="s">
        <v>21</v>
      </c>
      <c r="I9" s="9" t="s">
        <v>22</v>
      </c>
      <c r="J9" s="9" t="s">
        <v>23</v>
      </c>
      <c r="K9" s="6"/>
      <c r="L9" s="6"/>
      <c r="M9" s="58" t="s">
        <v>2178</v>
      </c>
    </row>
    <row r="10" spans="1:2977" ht="15.2" hidden="1" customHeight="1" x14ac:dyDescent="0.2">
      <c r="A10" s="6"/>
      <c r="B10" s="6"/>
      <c r="C10" s="10"/>
      <c r="D10" s="11" t="s">
        <v>24</v>
      </c>
      <c r="E10" s="12">
        <v>83</v>
      </c>
      <c r="F10" s="13"/>
      <c r="G10" s="13"/>
      <c r="H10" s="13"/>
      <c r="I10" s="15">
        <f>ROUND(E10,3)</f>
        <v>83</v>
      </c>
      <c r="J10" s="17">
        <f>SUM(I10:I10)</f>
        <v>83</v>
      </c>
      <c r="K10" s="6"/>
      <c r="L10" s="6"/>
      <c r="M10" s="58" t="s">
        <v>2178</v>
      </c>
    </row>
    <row r="11" spans="1:2977" ht="15.4" hidden="1" customHeight="1" x14ac:dyDescent="0.2">
      <c r="A11" s="3" t="s">
        <v>25</v>
      </c>
      <c r="B11" s="2" t="s">
        <v>26</v>
      </c>
      <c r="C11" s="45" t="s">
        <v>27</v>
      </c>
      <c r="D11" s="45"/>
      <c r="E11" s="45"/>
      <c r="F11" s="45"/>
      <c r="G11" s="45"/>
      <c r="H11" s="45"/>
      <c r="I11" s="45"/>
      <c r="J11" s="4">
        <f>SUM(J14:J15)</f>
        <v>93.5</v>
      </c>
      <c r="K11" s="5">
        <f>ROUND(0*(1+L2/100),2)</f>
        <v>0</v>
      </c>
      <c r="L11" s="5">
        <f>ROUND(J11*K11,2)</f>
        <v>0</v>
      </c>
      <c r="M11" s="58" t="s">
        <v>2178</v>
      </c>
    </row>
    <row r="12" spans="1:2977" ht="26.25" hidden="1" customHeight="1" x14ac:dyDescent="0.2">
      <c r="A12" s="6"/>
      <c r="B12" s="6"/>
      <c r="C12" s="45" t="s">
        <v>28</v>
      </c>
      <c r="D12" s="45"/>
      <c r="E12" s="45"/>
      <c r="F12" s="45"/>
      <c r="G12" s="45"/>
      <c r="H12" s="45"/>
      <c r="I12" s="45"/>
      <c r="J12" s="45"/>
      <c r="K12" s="45"/>
      <c r="L12" s="45"/>
      <c r="M12" s="58" t="s">
        <v>2178</v>
      </c>
    </row>
    <row r="13" spans="1:2977" ht="15.2" hidden="1" customHeight="1" x14ac:dyDescent="0.2">
      <c r="A13" s="6"/>
      <c r="B13" s="6"/>
      <c r="C13" s="6"/>
      <c r="D13" s="7"/>
      <c r="E13" s="9" t="s">
        <v>29</v>
      </c>
      <c r="F13" s="9" t="s">
        <v>30</v>
      </c>
      <c r="G13" s="9" t="s">
        <v>31</v>
      </c>
      <c r="H13" s="9" t="s">
        <v>32</v>
      </c>
      <c r="I13" s="9" t="s">
        <v>33</v>
      </c>
      <c r="J13" s="9" t="s">
        <v>34</v>
      </c>
      <c r="K13" s="6"/>
      <c r="L13" s="6"/>
      <c r="M13" s="58" t="s">
        <v>2178</v>
      </c>
    </row>
    <row r="14" spans="1:2977" ht="15.2" hidden="1" customHeight="1" x14ac:dyDescent="0.2">
      <c r="A14" s="6"/>
      <c r="B14" s="6"/>
      <c r="C14" s="10"/>
      <c r="D14" s="11" t="s">
        <v>35</v>
      </c>
      <c r="E14" s="12">
        <v>83</v>
      </c>
      <c r="F14" s="13"/>
      <c r="G14" s="13"/>
      <c r="H14" s="13"/>
      <c r="I14" s="15">
        <f>ROUND(E14,3)</f>
        <v>83</v>
      </c>
      <c r="J14" s="18"/>
      <c r="K14" s="6"/>
      <c r="L14" s="6"/>
      <c r="M14" s="58" t="s">
        <v>2178</v>
      </c>
    </row>
    <row r="15" spans="1:2977" ht="15.2" hidden="1" customHeight="1" x14ac:dyDescent="0.2">
      <c r="A15" s="6"/>
      <c r="B15" s="6"/>
      <c r="C15" s="10"/>
      <c r="D15" s="2" t="s">
        <v>36</v>
      </c>
      <c r="E15" s="1">
        <v>10.5</v>
      </c>
      <c r="F15" s="5"/>
      <c r="G15" s="5"/>
      <c r="H15" s="5"/>
      <c r="I15" s="14">
        <f>ROUND(E15,3)</f>
        <v>10.5</v>
      </c>
      <c r="J15" s="16">
        <f>SUM(I14:I15)</f>
        <v>93.5</v>
      </c>
      <c r="K15" s="6"/>
      <c r="L15" s="6"/>
      <c r="M15" s="58" t="s">
        <v>2178</v>
      </c>
    </row>
    <row r="16" spans="1:2977" ht="15.4" hidden="1" customHeight="1" x14ac:dyDescent="0.2">
      <c r="A16" s="43" t="s">
        <v>37</v>
      </c>
      <c r="B16" s="40"/>
      <c r="C16" s="49" t="s">
        <v>38</v>
      </c>
      <c r="D16" s="49"/>
      <c r="E16" s="49"/>
      <c r="F16" s="49"/>
      <c r="G16" s="49"/>
      <c r="H16" s="49"/>
      <c r="I16" s="49"/>
      <c r="J16" s="40"/>
      <c r="K16" s="41">
        <v>0</v>
      </c>
      <c r="L16" s="41">
        <f>ROUND(K16,2)</f>
        <v>0</v>
      </c>
      <c r="M16" s="58" t="s">
        <v>2178</v>
      </c>
    </row>
    <row r="17" spans="1:13" ht="15.4" hidden="1" customHeight="1" x14ac:dyDescent="0.2">
      <c r="A17" s="3" t="s">
        <v>39</v>
      </c>
      <c r="B17" s="2" t="s">
        <v>40</v>
      </c>
      <c r="C17" s="45" t="s">
        <v>41</v>
      </c>
      <c r="D17" s="45"/>
      <c r="E17" s="45"/>
      <c r="F17" s="45"/>
      <c r="G17" s="45"/>
      <c r="H17" s="45"/>
      <c r="I17" s="45"/>
      <c r="J17" s="4">
        <f>SUM(J20:J20)</f>
        <v>22.41</v>
      </c>
      <c r="K17" s="5">
        <f>ROUND(0*(1+L2/100),2)</f>
        <v>0</v>
      </c>
      <c r="L17" s="5">
        <f>ROUND(J17*K17,2)</f>
        <v>0</v>
      </c>
      <c r="M17" s="58" t="s">
        <v>2178</v>
      </c>
    </row>
    <row r="18" spans="1:13" ht="76.5" hidden="1" customHeight="1" x14ac:dyDescent="0.2">
      <c r="A18" s="6"/>
      <c r="B18" s="6"/>
      <c r="C18" s="45" t="s">
        <v>42</v>
      </c>
      <c r="D18" s="45"/>
      <c r="E18" s="45"/>
      <c r="F18" s="45"/>
      <c r="G18" s="45"/>
      <c r="H18" s="45"/>
      <c r="I18" s="45"/>
      <c r="J18" s="45"/>
      <c r="K18" s="45"/>
      <c r="L18" s="45"/>
      <c r="M18" s="58" t="s">
        <v>2178</v>
      </c>
    </row>
    <row r="19" spans="1:13" ht="15.2" hidden="1" customHeight="1" x14ac:dyDescent="0.2">
      <c r="A19" s="6"/>
      <c r="B19" s="6"/>
      <c r="C19" s="6"/>
      <c r="D19" s="7"/>
      <c r="E19" s="9" t="s">
        <v>43</v>
      </c>
      <c r="F19" s="9" t="s">
        <v>44</v>
      </c>
      <c r="G19" s="9" t="s">
        <v>45</v>
      </c>
      <c r="H19" s="9" t="s">
        <v>46</v>
      </c>
      <c r="I19" s="9" t="s">
        <v>47</v>
      </c>
      <c r="J19" s="9" t="s">
        <v>48</v>
      </c>
      <c r="K19" s="6"/>
      <c r="L19" s="6"/>
      <c r="M19" s="58" t="s">
        <v>2178</v>
      </c>
    </row>
    <row r="20" spans="1:13" ht="45" hidden="1" x14ac:dyDescent="0.2">
      <c r="A20" s="6"/>
      <c r="B20" s="6"/>
      <c r="C20" s="10"/>
      <c r="D20" s="11" t="s">
        <v>49</v>
      </c>
      <c r="E20" s="12">
        <v>22.41</v>
      </c>
      <c r="F20" s="13"/>
      <c r="G20" s="13"/>
      <c r="H20" s="13"/>
      <c r="I20" s="15">
        <f>ROUND(E20,3)</f>
        <v>22.41</v>
      </c>
      <c r="J20" s="17">
        <f>SUM(I20:I20)</f>
        <v>22.41</v>
      </c>
      <c r="K20" s="6"/>
      <c r="L20" s="6"/>
      <c r="M20" s="58" t="s">
        <v>2178</v>
      </c>
    </row>
    <row r="21" spans="1:13" ht="15.4" hidden="1" customHeight="1" x14ac:dyDescent="0.2">
      <c r="A21" s="3" t="s">
        <v>50</v>
      </c>
      <c r="B21" s="2" t="s">
        <v>51</v>
      </c>
      <c r="C21" s="45" t="s">
        <v>52</v>
      </c>
      <c r="D21" s="45"/>
      <c r="E21" s="45"/>
      <c r="F21" s="45"/>
      <c r="G21" s="45"/>
      <c r="H21" s="45"/>
      <c r="I21" s="45"/>
      <c r="J21" s="4">
        <f>SUM(J24:J25)</f>
        <v>26.48</v>
      </c>
      <c r="K21" s="5">
        <f>ROUND(0*(1+L2/100),2)</f>
        <v>0</v>
      </c>
      <c r="L21" s="5">
        <f>ROUND(J21*K21,2)</f>
        <v>0</v>
      </c>
      <c r="M21" s="58" t="s">
        <v>2178</v>
      </c>
    </row>
    <row r="22" spans="1:13" ht="62.25" hidden="1" customHeight="1" x14ac:dyDescent="0.2">
      <c r="A22" s="6"/>
      <c r="B22" s="6"/>
      <c r="C22" s="45" t="s">
        <v>53</v>
      </c>
      <c r="D22" s="45"/>
      <c r="E22" s="45"/>
      <c r="F22" s="45"/>
      <c r="G22" s="45"/>
      <c r="H22" s="45"/>
      <c r="I22" s="45"/>
      <c r="J22" s="45"/>
      <c r="K22" s="45"/>
      <c r="L22" s="45"/>
      <c r="M22" s="58" t="s">
        <v>2178</v>
      </c>
    </row>
    <row r="23" spans="1:13" ht="15.2" hidden="1" customHeight="1" x14ac:dyDescent="0.2">
      <c r="A23" s="6"/>
      <c r="B23" s="6"/>
      <c r="C23" s="6"/>
      <c r="D23" s="7"/>
      <c r="E23" s="9" t="s">
        <v>54</v>
      </c>
      <c r="F23" s="9" t="s">
        <v>55</v>
      </c>
      <c r="G23" s="9" t="s">
        <v>56</v>
      </c>
      <c r="H23" s="9" t="s">
        <v>57</v>
      </c>
      <c r="I23" s="9" t="s">
        <v>58</v>
      </c>
      <c r="J23" s="9" t="s">
        <v>59</v>
      </c>
      <c r="K23" s="6"/>
      <c r="L23" s="6"/>
      <c r="M23" s="58" t="s">
        <v>2178</v>
      </c>
    </row>
    <row r="24" spans="1:13" ht="33.75" hidden="1" x14ac:dyDescent="0.2">
      <c r="A24" s="6"/>
      <c r="B24" s="6"/>
      <c r="C24" s="10"/>
      <c r="D24" s="11" t="s">
        <v>60</v>
      </c>
      <c r="E24" s="12">
        <v>23.48</v>
      </c>
      <c r="F24" s="13"/>
      <c r="G24" s="13"/>
      <c r="H24" s="13"/>
      <c r="I24" s="15">
        <f>ROUND(E24,3)</f>
        <v>23.48</v>
      </c>
      <c r="J24" s="18"/>
      <c r="K24" s="6"/>
      <c r="L24" s="6"/>
      <c r="M24" s="58" t="s">
        <v>2178</v>
      </c>
    </row>
    <row r="25" spans="1:13" ht="22.5" hidden="1" x14ac:dyDescent="0.2">
      <c r="A25" s="6"/>
      <c r="B25" s="6"/>
      <c r="C25" s="10"/>
      <c r="D25" s="2" t="s">
        <v>61</v>
      </c>
      <c r="E25" s="1">
        <v>3</v>
      </c>
      <c r="F25" s="5"/>
      <c r="G25" s="5"/>
      <c r="H25" s="5"/>
      <c r="I25" s="14">
        <f>ROUND(E25,3)</f>
        <v>3</v>
      </c>
      <c r="J25" s="16">
        <f>SUM(I24:I25)</f>
        <v>26.48</v>
      </c>
      <c r="K25" s="6"/>
      <c r="L25" s="6"/>
      <c r="M25" s="58" t="s">
        <v>2178</v>
      </c>
    </row>
    <row r="26" spans="1:13" ht="15.4" hidden="1" customHeight="1" x14ac:dyDescent="0.2">
      <c r="A26" s="3" t="s">
        <v>62</v>
      </c>
      <c r="B26" s="2" t="s">
        <v>63</v>
      </c>
      <c r="C26" s="45" t="s">
        <v>64</v>
      </c>
      <c r="D26" s="45"/>
      <c r="E26" s="45"/>
      <c r="F26" s="45"/>
      <c r="G26" s="45"/>
      <c r="H26" s="45"/>
      <c r="I26" s="45"/>
      <c r="J26" s="4">
        <f>SUM(J29:J29)</f>
        <v>6.36</v>
      </c>
      <c r="K26" s="5">
        <f>ROUND(0*(1+L2/100),2)</f>
        <v>0</v>
      </c>
      <c r="L26" s="5">
        <f>ROUND(J26*K26,2)</f>
        <v>0</v>
      </c>
      <c r="M26" s="58" t="s">
        <v>2178</v>
      </c>
    </row>
    <row r="27" spans="1:13" ht="53.25" hidden="1" customHeight="1" x14ac:dyDescent="0.2">
      <c r="A27" s="6"/>
      <c r="B27" s="6"/>
      <c r="C27" s="45" t="s">
        <v>65</v>
      </c>
      <c r="D27" s="45"/>
      <c r="E27" s="45"/>
      <c r="F27" s="45"/>
      <c r="G27" s="45"/>
      <c r="H27" s="45"/>
      <c r="I27" s="45"/>
      <c r="J27" s="45"/>
      <c r="K27" s="45"/>
      <c r="L27" s="45"/>
      <c r="M27" s="58" t="s">
        <v>2178</v>
      </c>
    </row>
    <row r="28" spans="1:13" ht="15.2" hidden="1" customHeight="1" x14ac:dyDescent="0.2">
      <c r="A28" s="6"/>
      <c r="B28" s="6"/>
      <c r="C28" s="6"/>
      <c r="D28" s="7"/>
      <c r="E28" s="9" t="s">
        <v>66</v>
      </c>
      <c r="F28" s="9" t="s">
        <v>67</v>
      </c>
      <c r="G28" s="9" t="s">
        <v>68</v>
      </c>
      <c r="H28" s="9" t="s">
        <v>69</v>
      </c>
      <c r="I28" s="9" t="s">
        <v>70</v>
      </c>
      <c r="J28" s="9" t="s">
        <v>71</v>
      </c>
      <c r="K28" s="6"/>
      <c r="L28" s="6"/>
      <c r="M28" s="58" t="s">
        <v>2178</v>
      </c>
    </row>
    <row r="29" spans="1:13" ht="56.25" hidden="1" x14ac:dyDescent="0.2">
      <c r="A29" s="6"/>
      <c r="B29" s="6"/>
      <c r="C29" s="10"/>
      <c r="D29" s="11" t="s">
        <v>72</v>
      </c>
      <c r="E29" s="12">
        <v>6.36</v>
      </c>
      <c r="F29" s="13"/>
      <c r="G29" s="13"/>
      <c r="H29" s="13"/>
      <c r="I29" s="15">
        <f>ROUND(E29,3)</f>
        <v>6.36</v>
      </c>
      <c r="J29" s="17">
        <f>SUM(I29:I29)</f>
        <v>6.36</v>
      </c>
      <c r="K29" s="6"/>
      <c r="L29" s="6"/>
      <c r="M29" s="58" t="s">
        <v>2178</v>
      </c>
    </row>
    <row r="30" spans="1:13" ht="15.4" hidden="1" customHeight="1" x14ac:dyDescent="0.2">
      <c r="A30" s="3" t="s">
        <v>73</v>
      </c>
      <c r="B30" s="2" t="s">
        <v>74</v>
      </c>
      <c r="C30" s="45" t="s">
        <v>75</v>
      </c>
      <c r="D30" s="45"/>
      <c r="E30" s="45"/>
      <c r="F30" s="45"/>
      <c r="G30" s="45"/>
      <c r="H30" s="45"/>
      <c r="I30" s="45"/>
      <c r="J30" s="4">
        <f>SUM(J33:J35)</f>
        <v>37.82</v>
      </c>
      <c r="K30" s="5">
        <f>ROUND(0*(1+L2/100),2)</f>
        <v>0</v>
      </c>
      <c r="L30" s="5">
        <f>ROUND(J30*K30,2)</f>
        <v>0</v>
      </c>
      <c r="M30" s="58" t="s">
        <v>2178</v>
      </c>
    </row>
    <row r="31" spans="1:13" ht="12.2" hidden="1" customHeight="1" x14ac:dyDescent="0.2">
      <c r="A31" s="6"/>
      <c r="B31" s="6"/>
      <c r="C31" s="45" t="s">
        <v>76</v>
      </c>
      <c r="D31" s="45"/>
      <c r="E31" s="45"/>
      <c r="F31" s="45"/>
      <c r="G31" s="45"/>
      <c r="H31" s="45"/>
      <c r="I31" s="45"/>
      <c r="J31" s="45"/>
      <c r="K31" s="45"/>
      <c r="L31" s="45"/>
      <c r="M31" s="58" t="s">
        <v>2178</v>
      </c>
    </row>
    <row r="32" spans="1:13" ht="15.2" hidden="1" customHeight="1" x14ac:dyDescent="0.2">
      <c r="A32" s="6"/>
      <c r="B32" s="6"/>
      <c r="C32" s="6"/>
      <c r="D32" s="7"/>
      <c r="E32" s="9" t="s">
        <v>77</v>
      </c>
      <c r="F32" s="9" t="s">
        <v>78</v>
      </c>
      <c r="G32" s="9" t="s">
        <v>79</v>
      </c>
      <c r="H32" s="9" t="s">
        <v>80</v>
      </c>
      <c r="I32" s="9" t="s">
        <v>81</v>
      </c>
      <c r="J32" s="9" t="s">
        <v>82</v>
      </c>
      <c r="K32" s="6"/>
      <c r="L32" s="6"/>
      <c r="M32" s="58" t="s">
        <v>2178</v>
      </c>
    </row>
    <row r="33" spans="1:13" ht="22.5" hidden="1" x14ac:dyDescent="0.2">
      <c r="A33" s="6"/>
      <c r="B33" s="6"/>
      <c r="C33" s="10"/>
      <c r="D33" s="11" t="s">
        <v>83</v>
      </c>
      <c r="E33" s="12">
        <v>22.43</v>
      </c>
      <c r="F33" s="13"/>
      <c r="G33" s="13"/>
      <c r="H33" s="13"/>
      <c r="I33" s="15">
        <f>ROUND(E33,3)</f>
        <v>22.43</v>
      </c>
      <c r="J33" s="18"/>
      <c r="K33" s="6"/>
      <c r="L33" s="6"/>
      <c r="M33" s="58" t="s">
        <v>2178</v>
      </c>
    </row>
    <row r="34" spans="1:13" ht="33.75" hidden="1" x14ac:dyDescent="0.2">
      <c r="A34" s="6"/>
      <c r="B34" s="6"/>
      <c r="C34" s="10"/>
      <c r="D34" s="2" t="s">
        <v>84</v>
      </c>
      <c r="E34" s="1">
        <v>8.9499999999999993</v>
      </c>
      <c r="F34" s="5"/>
      <c r="G34" s="5"/>
      <c r="H34" s="5"/>
      <c r="I34" s="14">
        <f>ROUND(E34,3)</f>
        <v>8.9499999999999993</v>
      </c>
      <c r="J34" s="6"/>
      <c r="K34" s="6"/>
      <c r="L34" s="6"/>
      <c r="M34" s="58" t="s">
        <v>2178</v>
      </c>
    </row>
    <row r="35" spans="1:13" ht="22.5" hidden="1" x14ac:dyDescent="0.2">
      <c r="A35" s="6"/>
      <c r="B35" s="6"/>
      <c r="C35" s="10"/>
      <c r="D35" s="2" t="s">
        <v>85</v>
      </c>
      <c r="E35" s="1">
        <v>6.44</v>
      </c>
      <c r="F35" s="5"/>
      <c r="G35" s="5"/>
      <c r="H35" s="5"/>
      <c r="I35" s="14">
        <f>ROUND(E35,3)</f>
        <v>6.44</v>
      </c>
      <c r="J35" s="16">
        <f>SUM(I33:I35)</f>
        <v>37.82</v>
      </c>
      <c r="K35" s="6"/>
      <c r="L35" s="6"/>
      <c r="M35" s="58" t="s">
        <v>2178</v>
      </c>
    </row>
    <row r="36" spans="1:13" ht="15.4" hidden="1" customHeight="1" x14ac:dyDescent="0.2">
      <c r="A36" s="43" t="s">
        <v>86</v>
      </c>
      <c r="B36" s="40"/>
      <c r="C36" s="49" t="s">
        <v>87</v>
      </c>
      <c r="D36" s="49"/>
      <c r="E36" s="49"/>
      <c r="F36" s="49"/>
      <c r="G36" s="49"/>
      <c r="H36" s="49"/>
      <c r="I36" s="49"/>
      <c r="J36" s="40"/>
      <c r="K36" s="41">
        <v>0</v>
      </c>
      <c r="L36" s="41">
        <f>ROUND(K36,2)</f>
        <v>0</v>
      </c>
      <c r="M36" s="58" t="s">
        <v>2178</v>
      </c>
    </row>
    <row r="37" spans="1:13" ht="15.4" hidden="1" customHeight="1" x14ac:dyDescent="0.2">
      <c r="A37" s="3" t="s">
        <v>88</v>
      </c>
      <c r="B37" s="2" t="s">
        <v>89</v>
      </c>
      <c r="C37" s="45" t="s">
        <v>90</v>
      </c>
      <c r="D37" s="45"/>
      <c r="E37" s="45"/>
      <c r="F37" s="45"/>
      <c r="G37" s="45"/>
      <c r="H37" s="45"/>
      <c r="I37" s="45"/>
      <c r="J37" s="4">
        <f>SUM(J40:J40)</f>
        <v>1.28</v>
      </c>
      <c r="K37" s="5">
        <f>ROUND(0*(1+L2/100),2)</f>
        <v>0</v>
      </c>
      <c r="L37" s="5">
        <f>ROUND(J37*K37,2)</f>
        <v>0</v>
      </c>
      <c r="M37" s="58" t="s">
        <v>2178</v>
      </c>
    </row>
    <row r="38" spans="1:13" ht="12.2" hidden="1" customHeight="1" x14ac:dyDescent="0.2">
      <c r="A38" s="6"/>
      <c r="B38" s="6"/>
      <c r="C38" s="45" t="s">
        <v>91</v>
      </c>
      <c r="D38" s="45"/>
      <c r="E38" s="45"/>
      <c r="F38" s="45"/>
      <c r="G38" s="45"/>
      <c r="H38" s="45"/>
      <c r="I38" s="45"/>
      <c r="J38" s="45"/>
      <c r="K38" s="45"/>
      <c r="L38" s="45"/>
      <c r="M38" s="58" t="s">
        <v>2178</v>
      </c>
    </row>
    <row r="39" spans="1:13" ht="15.2" hidden="1" customHeight="1" x14ac:dyDescent="0.2">
      <c r="A39" s="6"/>
      <c r="B39" s="6"/>
      <c r="C39" s="6"/>
      <c r="D39" s="7"/>
      <c r="E39" s="9" t="s">
        <v>92</v>
      </c>
      <c r="F39" s="9" t="s">
        <v>93</v>
      </c>
      <c r="G39" s="9" t="s">
        <v>94</v>
      </c>
      <c r="H39" s="9" t="s">
        <v>95</v>
      </c>
      <c r="I39" s="9" t="s">
        <v>96</v>
      </c>
      <c r="J39" s="9" t="s">
        <v>97</v>
      </c>
      <c r="K39" s="6"/>
      <c r="L39" s="6"/>
      <c r="M39" s="58" t="s">
        <v>2178</v>
      </c>
    </row>
    <row r="40" spans="1:13" ht="45" hidden="1" x14ac:dyDescent="0.2">
      <c r="A40" s="6"/>
      <c r="B40" s="6"/>
      <c r="C40" s="10"/>
      <c r="D40" s="11" t="s">
        <v>98</v>
      </c>
      <c r="E40" s="12">
        <v>4</v>
      </c>
      <c r="F40" s="13">
        <v>0.4</v>
      </c>
      <c r="G40" s="13">
        <v>0.4</v>
      </c>
      <c r="H40" s="13">
        <v>2</v>
      </c>
      <c r="I40" s="15">
        <f>ROUND(E40*F40*G40*H40,3)</f>
        <v>1.28</v>
      </c>
      <c r="J40" s="17">
        <f>SUM(I40:I40)</f>
        <v>1.28</v>
      </c>
      <c r="K40" s="6"/>
      <c r="L40" s="6"/>
      <c r="M40" s="58" t="s">
        <v>2178</v>
      </c>
    </row>
    <row r="41" spans="1:13" ht="15.4" hidden="1" customHeight="1" x14ac:dyDescent="0.2">
      <c r="A41" s="37" t="s">
        <v>99</v>
      </c>
      <c r="B41" s="34"/>
      <c r="C41" s="46" t="s">
        <v>100</v>
      </c>
      <c r="D41" s="46"/>
      <c r="E41" s="46"/>
      <c r="F41" s="46"/>
      <c r="G41" s="46"/>
      <c r="H41" s="46"/>
      <c r="I41" s="46"/>
      <c r="J41" s="34"/>
      <c r="K41" s="35">
        <v>0</v>
      </c>
      <c r="L41" s="35">
        <f>ROUND(K41,2)</f>
        <v>0</v>
      </c>
      <c r="M41" s="58" t="s">
        <v>2178</v>
      </c>
    </row>
    <row r="42" spans="1:13" ht="15.4" hidden="1" customHeight="1" x14ac:dyDescent="0.2">
      <c r="A42" s="42" t="s">
        <v>101</v>
      </c>
      <c r="B42" s="38"/>
      <c r="C42" s="48" t="s">
        <v>102</v>
      </c>
      <c r="D42" s="48"/>
      <c r="E42" s="48"/>
      <c r="F42" s="48"/>
      <c r="G42" s="48"/>
      <c r="H42" s="48"/>
      <c r="I42" s="48"/>
      <c r="J42" s="38"/>
      <c r="K42" s="39">
        <v>0</v>
      </c>
      <c r="L42" s="39">
        <f>ROUND(K42,2)</f>
        <v>0</v>
      </c>
      <c r="M42" s="58" t="s">
        <v>2178</v>
      </c>
    </row>
    <row r="43" spans="1:13" ht="15.4" hidden="1" customHeight="1" x14ac:dyDescent="0.2">
      <c r="A43" s="3" t="s">
        <v>103</v>
      </c>
      <c r="B43" s="2" t="s">
        <v>104</v>
      </c>
      <c r="C43" s="45" t="s">
        <v>105</v>
      </c>
      <c r="D43" s="45"/>
      <c r="E43" s="45"/>
      <c r="F43" s="45"/>
      <c r="G43" s="45"/>
      <c r="H43" s="45"/>
      <c r="I43" s="45"/>
      <c r="J43" s="4">
        <f>SUM(J46:J46)</f>
        <v>40.69</v>
      </c>
      <c r="K43" s="5">
        <f>ROUND(0*(1+L2/100),2)</f>
        <v>0</v>
      </c>
      <c r="L43" s="5">
        <f>ROUND(J43*K43,2)</f>
        <v>0</v>
      </c>
      <c r="M43" s="58" t="s">
        <v>2178</v>
      </c>
    </row>
    <row r="44" spans="1:13" ht="52.5" hidden="1" customHeight="1" x14ac:dyDescent="0.2">
      <c r="A44" s="6"/>
      <c r="B44" s="6"/>
      <c r="C44" s="45" t="s">
        <v>106</v>
      </c>
      <c r="D44" s="45"/>
      <c r="E44" s="45"/>
      <c r="F44" s="45"/>
      <c r="G44" s="45"/>
      <c r="H44" s="45"/>
      <c r="I44" s="45"/>
      <c r="J44" s="45"/>
      <c r="K44" s="45"/>
      <c r="L44" s="45"/>
      <c r="M44" s="58" t="s">
        <v>2178</v>
      </c>
    </row>
    <row r="45" spans="1:13" ht="15.2" hidden="1" customHeight="1" x14ac:dyDescent="0.2">
      <c r="A45" s="6"/>
      <c r="B45" s="6"/>
      <c r="C45" s="6"/>
      <c r="D45" s="7"/>
      <c r="E45" s="9" t="s">
        <v>107</v>
      </c>
      <c r="F45" s="9" t="s">
        <v>108</v>
      </c>
      <c r="G45" s="9" t="s">
        <v>109</v>
      </c>
      <c r="H45" s="9" t="s">
        <v>110</v>
      </c>
      <c r="I45" s="9" t="s">
        <v>111</v>
      </c>
      <c r="J45" s="9" t="s">
        <v>112</v>
      </c>
      <c r="K45" s="6"/>
      <c r="L45" s="6"/>
      <c r="M45" s="58" t="s">
        <v>2178</v>
      </c>
    </row>
    <row r="46" spans="1:13" ht="33.75" hidden="1" x14ac:dyDescent="0.2">
      <c r="A46" s="6"/>
      <c r="B46" s="6"/>
      <c r="C46" s="10"/>
      <c r="D46" s="11" t="s">
        <v>113</v>
      </c>
      <c r="E46" s="12">
        <v>1</v>
      </c>
      <c r="F46" s="13">
        <v>15.65</v>
      </c>
      <c r="G46" s="13"/>
      <c r="H46" s="13">
        <v>2.6</v>
      </c>
      <c r="I46" s="15">
        <f>ROUND(E46*F46*H46,3)</f>
        <v>40.69</v>
      </c>
      <c r="J46" s="17">
        <f>SUM(I46:I46)</f>
        <v>40.69</v>
      </c>
      <c r="K46" s="6"/>
      <c r="L46" s="6"/>
      <c r="M46" s="58" t="s">
        <v>2178</v>
      </c>
    </row>
    <row r="47" spans="1:13" ht="15.4" hidden="1" customHeight="1" x14ac:dyDescent="0.2">
      <c r="A47" s="3" t="s">
        <v>114</v>
      </c>
      <c r="B47" s="2" t="s">
        <v>115</v>
      </c>
      <c r="C47" s="45" t="s">
        <v>116</v>
      </c>
      <c r="D47" s="45"/>
      <c r="E47" s="45"/>
      <c r="F47" s="45"/>
      <c r="G47" s="45"/>
      <c r="H47" s="45"/>
      <c r="I47" s="45"/>
      <c r="J47" s="4">
        <f>SUM(J50:J52)</f>
        <v>49.78</v>
      </c>
      <c r="K47" s="5">
        <f>ROUND(0*(1+L2/100),2)</f>
        <v>0</v>
      </c>
      <c r="L47" s="5">
        <f>ROUND(J47*K47,2)</f>
        <v>0</v>
      </c>
      <c r="M47" s="58" t="s">
        <v>2178</v>
      </c>
    </row>
    <row r="48" spans="1:13" ht="50.25" hidden="1" customHeight="1" x14ac:dyDescent="0.2">
      <c r="A48" s="6"/>
      <c r="B48" s="6"/>
      <c r="C48" s="45" t="s">
        <v>117</v>
      </c>
      <c r="D48" s="45"/>
      <c r="E48" s="45"/>
      <c r="F48" s="45"/>
      <c r="G48" s="45"/>
      <c r="H48" s="45"/>
      <c r="I48" s="45"/>
      <c r="J48" s="45"/>
      <c r="K48" s="45"/>
      <c r="L48" s="45"/>
      <c r="M48" s="58" t="s">
        <v>2178</v>
      </c>
    </row>
    <row r="49" spans="1:13" ht="15.2" hidden="1" customHeight="1" x14ac:dyDescent="0.2">
      <c r="A49" s="6"/>
      <c r="B49" s="6"/>
      <c r="C49" s="6"/>
      <c r="D49" s="7"/>
      <c r="E49" s="9" t="s">
        <v>118</v>
      </c>
      <c r="F49" s="9" t="s">
        <v>119</v>
      </c>
      <c r="G49" s="9" t="s">
        <v>120</v>
      </c>
      <c r="H49" s="9" t="s">
        <v>121</v>
      </c>
      <c r="I49" s="9" t="s">
        <v>122</v>
      </c>
      <c r="J49" s="9" t="s">
        <v>123</v>
      </c>
      <c r="K49" s="6"/>
      <c r="L49" s="6"/>
      <c r="M49" s="58" t="s">
        <v>2178</v>
      </c>
    </row>
    <row r="50" spans="1:13" ht="22.5" hidden="1" x14ac:dyDescent="0.2">
      <c r="A50" s="6"/>
      <c r="B50" s="6"/>
      <c r="C50" s="10"/>
      <c r="D50" s="11" t="s">
        <v>124</v>
      </c>
      <c r="E50" s="12">
        <v>1</v>
      </c>
      <c r="F50" s="13">
        <v>15.3</v>
      </c>
      <c r="G50" s="13"/>
      <c r="H50" s="13">
        <v>2.6</v>
      </c>
      <c r="I50" s="15">
        <f>ROUND(E50*F50*H50,3)</f>
        <v>39.78</v>
      </c>
      <c r="J50" s="18"/>
      <c r="K50" s="6"/>
      <c r="L50" s="6"/>
      <c r="M50" s="58" t="s">
        <v>2178</v>
      </c>
    </row>
    <row r="51" spans="1:13" ht="22.5" hidden="1" x14ac:dyDescent="0.2">
      <c r="A51" s="6"/>
      <c r="B51" s="6"/>
      <c r="C51" s="10"/>
      <c r="D51" s="2" t="s">
        <v>125</v>
      </c>
      <c r="E51" s="1">
        <v>1</v>
      </c>
      <c r="F51" s="5">
        <v>3.2</v>
      </c>
      <c r="G51" s="5"/>
      <c r="H51" s="5">
        <v>2.5</v>
      </c>
      <c r="I51" s="14">
        <f>ROUND(E51*F51*H51,3)</f>
        <v>8</v>
      </c>
      <c r="J51" s="6"/>
      <c r="K51" s="6"/>
      <c r="L51" s="6"/>
      <c r="M51" s="58" t="s">
        <v>2178</v>
      </c>
    </row>
    <row r="52" spans="1:13" ht="45" hidden="1" x14ac:dyDescent="0.2">
      <c r="A52" s="6"/>
      <c r="B52" s="6"/>
      <c r="C52" s="10"/>
      <c r="D52" s="2" t="s">
        <v>126</v>
      </c>
      <c r="E52" s="1">
        <v>1</v>
      </c>
      <c r="F52" s="5">
        <v>2</v>
      </c>
      <c r="G52" s="5"/>
      <c r="H52" s="5">
        <v>1</v>
      </c>
      <c r="I52" s="14">
        <f>ROUND(E52*F52*H52,3)</f>
        <v>2</v>
      </c>
      <c r="J52" s="16">
        <f>SUM(I50:I52)</f>
        <v>49.78</v>
      </c>
      <c r="K52" s="6"/>
      <c r="L52" s="6"/>
      <c r="M52" s="58" t="s">
        <v>2178</v>
      </c>
    </row>
    <row r="53" spans="1:13" ht="15.4" hidden="1" customHeight="1" x14ac:dyDescent="0.2">
      <c r="A53" s="37" t="s">
        <v>127</v>
      </c>
      <c r="B53" s="34"/>
      <c r="C53" s="46" t="s">
        <v>128</v>
      </c>
      <c r="D53" s="46"/>
      <c r="E53" s="46"/>
      <c r="F53" s="46"/>
      <c r="G53" s="46"/>
      <c r="H53" s="46"/>
      <c r="I53" s="46"/>
      <c r="J53" s="34"/>
      <c r="K53" s="35">
        <v>0</v>
      </c>
      <c r="L53" s="35">
        <f>ROUND(K53,2)</f>
        <v>0</v>
      </c>
      <c r="M53" s="58" t="s">
        <v>2178</v>
      </c>
    </row>
    <row r="54" spans="1:13" ht="15.4" hidden="1" customHeight="1" x14ac:dyDescent="0.2">
      <c r="A54" s="42" t="s">
        <v>129</v>
      </c>
      <c r="B54" s="38"/>
      <c r="C54" s="48" t="s">
        <v>130</v>
      </c>
      <c r="D54" s="48"/>
      <c r="E54" s="48"/>
      <c r="F54" s="48"/>
      <c r="G54" s="48"/>
      <c r="H54" s="48"/>
      <c r="I54" s="48"/>
      <c r="J54" s="38"/>
      <c r="K54" s="39">
        <v>0</v>
      </c>
      <c r="L54" s="39">
        <f>ROUND(K54,2)</f>
        <v>0</v>
      </c>
      <c r="M54" s="58" t="s">
        <v>2178</v>
      </c>
    </row>
    <row r="55" spans="1:13" ht="15.4" hidden="1" customHeight="1" x14ac:dyDescent="0.2">
      <c r="A55" s="3" t="s">
        <v>131</v>
      </c>
      <c r="B55" s="2" t="s">
        <v>132</v>
      </c>
      <c r="C55" s="45" t="s">
        <v>133</v>
      </c>
      <c r="D55" s="45"/>
      <c r="E55" s="45"/>
      <c r="F55" s="45"/>
      <c r="G55" s="45"/>
      <c r="H55" s="45"/>
      <c r="I55" s="45"/>
      <c r="J55" s="4">
        <f>SUM(J58:J58)</f>
        <v>6</v>
      </c>
      <c r="K55" s="5">
        <f>ROUND(0*(1+L2/100),2)</f>
        <v>0</v>
      </c>
      <c r="L55" s="5">
        <f>ROUND(J55*K55,2)</f>
        <v>0</v>
      </c>
      <c r="M55" s="58" t="s">
        <v>2178</v>
      </c>
    </row>
    <row r="56" spans="1:13" ht="28.5" hidden="1" customHeight="1" x14ac:dyDescent="0.2">
      <c r="A56" s="6"/>
      <c r="B56" s="6"/>
      <c r="C56" s="45" t="s">
        <v>134</v>
      </c>
      <c r="D56" s="45"/>
      <c r="E56" s="45"/>
      <c r="F56" s="45"/>
      <c r="G56" s="45"/>
      <c r="H56" s="45"/>
      <c r="I56" s="45"/>
      <c r="J56" s="45"/>
      <c r="K56" s="45"/>
      <c r="L56" s="45"/>
      <c r="M56" s="58" t="s">
        <v>2178</v>
      </c>
    </row>
    <row r="57" spans="1:13" ht="15.2" hidden="1" customHeight="1" x14ac:dyDescent="0.2">
      <c r="A57" s="6"/>
      <c r="B57" s="6"/>
      <c r="C57" s="6"/>
      <c r="D57" s="7"/>
      <c r="E57" s="9" t="s">
        <v>135</v>
      </c>
      <c r="F57" s="9" t="s">
        <v>136</v>
      </c>
      <c r="G57" s="9" t="s">
        <v>137</v>
      </c>
      <c r="H57" s="9" t="s">
        <v>138</v>
      </c>
      <c r="I57" s="9" t="s">
        <v>139</v>
      </c>
      <c r="J57" s="9" t="s">
        <v>140</v>
      </c>
      <c r="K57" s="6"/>
      <c r="L57" s="6"/>
      <c r="M57" s="58" t="s">
        <v>2178</v>
      </c>
    </row>
    <row r="58" spans="1:13" ht="22.5" hidden="1" x14ac:dyDescent="0.2">
      <c r="A58" s="6"/>
      <c r="B58" s="6"/>
      <c r="C58" s="10"/>
      <c r="D58" s="11" t="s">
        <v>141</v>
      </c>
      <c r="E58" s="12">
        <v>6</v>
      </c>
      <c r="F58" s="13"/>
      <c r="G58" s="13"/>
      <c r="H58" s="13"/>
      <c r="I58" s="15">
        <f>ROUND(E58,3)</f>
        <v>6</v>
      </c>
      <c r="J58" s="17">
        <f>SUM(I58:I58)</f>
        <v>6</v>
      </c>
      <c r="K58" s="6"/>
      <c r="L58" s="6"/>
      <c r="M58" s="58" t="s">
        <v>2178</v>
      </c>
    </row>
    <row r="59" spans="1:13" ht="15.4" hidden="1" customHeight="1" x14ac:dyDescent="0.2">
      <c r="A59" s="43" t="s">
        <v>142</v>
      </c>
      <c r="B59" s="40"/>
      <c r="C59" s="49" t="s">
        <v>143</v>
      </c>
      <c r="D59" s="49"/>
      <c r="E59" s="49"/>
      <c r="F59" s="49"/>
      <c r="G59" s="49"/>
      <c r="H59" s="49"/>
      <c r="I59" s="49"/>
      <c r="J59" s="40"/>
      <c r="K59" s="41">
        <v>0</v>
      </c>
      <c r="L59" s="41">
        <f>ROUND(K59,2)</f>
        <v>0</v>
      </c>
      <c r="M59" s="58" t="s">
        <v>2178</v>
      </c>
    </row>
    <row r="60" spans="1:13" ht="15.4" hidden="1" customHeight="1" x14ac:dyDescent="0.2">
      <c r="A60" s="3" t="s">
        <v>144</v>
      </c>
      <c r="B60" s="2" t="s">
        <v>145</v>
      </c>
      <c r="C60" s="45" t="s">
        <v>146</v>
      </c>
      <c r="D60" s="45"/>
      <c r="E60" s="45"/>
      <c r="F60" s="45"/>
      <c r="G60" s="45"/>
      <c r="H60" s="45"/>
      <c r="I60" s="45"/>
      <c r="J60" s="4">
        <f>SUM(J63:J63)</f>
        <v>1</v>
      </c>
      <c r="K60" s="5">
        <f>ROUND(0*(1+L2/100),2)</f>
        <v>0</v>
      </c>
      <c r="L60" s="5">
        <f>ROUND(J60*K60,2)</f>
        <v>0</v>
      </c>
      <c r="M60" s="58" t="s">
        <v>2178</v>
      </c>
    </row>
    <row r="61" spans="1:13" ht="12.2" hidden="1" customHeight="1" x14ac:dyDescent="0.2">
      <c r="A61" s="6"/>
      <c r="B61" s="6"/>
      <c r="C61" s="45" t="s">
        <v>147</v>
      </c>
      <c r="D61" s="45"/>
      <c r="E61" s="45"/>
      <c r="F61" s="45"/>
      <c r="G61" s="45"/>
      <c r="H61" s="45"/>
      <c r="I61" s="45"/>
      <c r="J61" s="45"/>
      <c r="K61" s="45"/>
      <c r="L61" s="45"/>
      <c r="M61" s="58" t="s">
        <v>2178</v>
      </c>
    </row>
    <row r="62" spans="1:13" ht="15.2" hidden="1" customHeight="1" x14ac:dyDescent="0.2">
      <c r="A62" s="6"/>
      <c r="B62" s="6"/>
      <c r="C62" s="6"/>
      <c r="D62" s="7"/>
      <c r="E62" s="9" t="s">
        <v>148</v>
      </c>
      <c r="F62" s="9" t="s">
        <v>149</v>
      </c>
      <c r="G62" s="9" t="s">
        <v>150</v>
      </c>
      <c r="H62" s="9" t="s">
        <v>151</v>
      </c>
      <c r="I62" s="9" t="s">
        <v>152</v>
      </c>
      <c r="J62" s="9" t="s">
        <v>153</v>
      </c>
      <c r="K62" s="6"/>
      <c r="L62" s="6"/>
      <c r="M62" s="58" t="s">
        <v>2178</v>
      </c>
    </row>
    <row r="63" spans="1:13" ht="24.75" hidden="1" customHeight="1" x14ac:dyDescent="0.2">
      <c r="A63" s="6"/>
      <c r="B63" s="6"/>
      <c r="C63" s="10"/>
      <c r="D63" s="11" t="s">
        <v>154</v>
      </c>
      <c r="E63" s="12">
        <v>1</v>
      </c>
      <c r="F63" s="13"/>
      <c r="G63" s="13"/>
      <c r="H63" s="13"/>
      <c r="I63" s="15">
        <f>ROUND(E63,3)</f>
        <v>1</v>
      </c>
      <c r="J63" s="17">
        <f>SUM(I63:I63)</f>
        <v>1</v>
      </c>
      <c r="K63" s="6"/>
      <c r="L63" s="6"/>
      <c r="M63" s="58" t="s">
        <v>2178</v>
      </c>
    </row>
    <row r="64" spans="1:13" ht="15.4" hidden="1" customHeight="1" x14ac:dyDescent="0.2">
      <c r="A64" s="3" t="s">
        <v>155</v>
      </c>
      <c r="B64" s="2" t="s">
        <v>156</v>
      </c>
      <c r="C64" s="45" t="s">
        <v>157</v>
      </c>
      <c r="D64" s="45"/>
      <c r="E64" s="45"/>
      <c r="F64" s="45"/>
      <c r="G64" s="45"/>
      <c r="H64" s="45"/>
      <c r="I64" s="45"/>
      <c r="J64" s="4">
        <f>SUM(J67:J67)</f>
        <v>1</v>
      </c>
      <c r="K64" s="5">
        <f>ROUND(0*(1+L2/100),2)</f>
        <v>0</v>
      </c>
      <c r="L64" s="5">
        <f>ROUND(J64*K64,2)</f>
        <v>0</v>
      </c>
      <c r="M64" s="58" t="s">
        <v>2178</v>
      </c>
    </row>
    <row r="65" spans="1:13" ht="24" hidden="1" customHeight="1" x14ac:dyDescent="0.2">
      <c r="A65" s="6"/>
      <c r="B65" s="6"/>
      <c r="C65" s="45" t="s">
        <v>158</v>
      </c>
      <c r="D65" s="45"/>
      <c r="E65" s="45"/>
      <c r="F65" s="45"/>
      <c r="G65" s="45"/>
      <c r="H65" s="45"/>
      <c r="I65" s="45"/>
      <c r="J65" s="45"/>
      <c r="K65" s="45"/>
      <c r="L65" s="45"/>
      <c r="M65" s="58" t="s">
        <v>2178</v>
      </c>
    </row>
    <row r="66" spans="1:13" ht="15.2" hidden="1" customHeight="1" x14ac:dyDescent="0.2">
      <c r="A66" s="6"/>
      <c r="B66" s="6"/>
      <c r="C66" s="6"/>
      <c r="D66" s="7"/>
      <c r="E66" s="9" t="s">
        <v>159</v>
      </c>
      <c r="F66" s="9" t="s">
        <v>160</v>
      </c>
      <c r="G66" s="9" t="s">
        <v>161</v>
      </c>
      <c r="H66" s="9" t="s">
        <v>162</v>
      </c>
      <c r="I66" s="9" t="s">
        <v>163</v>
      </c>
      <c r="J66" s="9" t="s">
        <v>164</v>
      </c>
      <c r="K66" s="6"/>
      <c r="L66" s="6"/>
      <c r="M66" s="58" t="s">
        <v>2178</v>
      </c>
    </row>
    <row r="67" spans="1:13" ht="15.2" hidden="1" customHeight="1" x14ac:dyDescent="0.2">
      <c r="A67" s="6"/>
      <c r="B67" s="6"/>
      <c r="C67" s="10"/>
      <c r="D67" s="11" t="s">
        <v>165</v>
      </c>
      <c r="E67" s="12">
        <v>1</v>
      </c>
      <c r="F67" s="13"/>
      <c r="G67" s="13"/>
      <c r="H67" s="13"/>
      <c r="I67" s="15">
        <f>ROUND(E67,3)</f>
        <v>1</v>
      </c>
      <c r="J67" s="17">
        <f>SUM(I67:I67)</f>
        <v>1</v>
      </c>
      <c r="K67" s="6"/>
      <c r="L67" s="6"/>
      <c r="M67" s="58" t="s">
        <v>2178</v>
      </c>
    </row>
    <row r="68" spans="1:13" ht="15.4" hidden="1" customHeight="1" x14ac:dyDescent="0.2">
      <c r="A68" s="3" t="s">
        <v>166</v>
      </c>
      <c r="B68" s="2" t="s">
        <v>167</v>
      </c>
      <c r="C68" s="45" t="s">
        <v>168</v>
      </c>
      <c r="D68" s="45"/>
      <c r="E68" s="45"/>
      <c r="F68" s="45"/>
      <c r="G68" s="45"/>
      <c r="H68" s="45"/>
      <c r="I68" s="45"/>
      <c r="J68" s="4">
        <f>SUM(J71:J71)</f>
        <v>5</v>
      </c>
      <c r="K68" s="5">
        <f>ROUND(0*(1+L2/100),2)</f>
        <v>0</v>
      </c>
      <c r="L68" s="5">
        <f>ROUND(J68*K68,2)</f>
        <v>0</v>
      </c>
      <c r="M68" s="58" t="s">
        <v>2178</v>
      </c>
    </row>
    <row r="69" spans="1:13" ht="12.2" hidden="1" customHeight="1" x14ac:dyDescent="0.2">
      <c r="A69" s="6"/>
      <c r="B69" s="6"/>
      <c r="C69" s="45" t="s">
        <v>169</v>
      </c>
      <c r="D69" s="45"/>
      <c r="E69" s="45"/>
      <c r="F69" s="45"/>
      <c r="G69" s="45"/>
      <c r="H69" s="45"/>
      <c r="I69" s="45"/>
      <c r="J69" s="45"/>
      <c r="K69" s="45"/>
      <c r="L69" s="45"/>
      <c r="M69" s="58" t="s">
        <v>2178</v>
      </c>
    </row>
    <row r="70" spans="1:13" ht="15.2" hidden="1" customHeight="1" x14ac:dyDescent="0.2">
      <c r="A70" s="6"/>
      <c r="B70" s="6"/>
      <c r="C70" s="6"/>
      <c r="D70" s="7"/>
      <c r="E70" s="9" t="s">
        <v>170</v>
      </c>
      <c r="F70" s="9" t="s">
        <v>171</v>
      </c>
      <c r="G70" s="9" t="s">
        <v>172</v>
      </c>
      <c r="H70" s="9" t="s">
        <v>173</v>
      </c>
      <c r="I70" s="9" t="s">
        <v>174</v>
      </c>
      <c r="J70" s="9" t="s">
        <v>175</v>
      </c>
      <c r="K70" s="6"/>
      <c r="L70" s="6"/>
      <c r="M70" s="58" t="s">
        <v>2178</v>
      </c>
    </row>
    <row r="71" spans="1:13" ht="15.2" hidden="1" customHeight="1" x14ac:dyDescent="0.2">
      <c r="A71" s="6"/>
      <c r="B71" s="6"/>
      <c r="C71" s="10"/>
      <c r="D71" s="11" t="s">
        <v>176</v>
      </c>
      <c r="E71" s="12">
        <v>5</v>
      </c>
      <c r="F71" s="13"/>
      <c r="G71" s="13"/>
      <c r="H71" s="13"/>
      <c r="I71" s="15">
        <f>ROUND(E71,3)</f>
        <v>5</v>
      </c>
      <c r="J71" s="17">
        <f>SUM(I71:I71)</f>
        <v>5</v>
      </c>
      <c r="K71" s="6"/>
      <c r="L71" s="6"/>
      <c r="M71" s="58" t="s">
        <v>2178</v>
      </c>
    </row>
    <row r="72" spans="1:13" ht="15.4" hidden="1" customHeight="1" x14ac:dyDescent="0.2">
      <c r="A72" s="37" t="s">
        <v>177</v>
      </c>
      <c r="B72" s="34"/>
      <c r="C72" s="46" t="s">
        <v>178</v>
      </c>
      <c r="D72" s="46"/>
      <c r="E72" s="46"/>
      <c r="F72" s="46"/>
      <c r="G72" s="46"/>
      <c r="H72" s="46"/>
      <c r="I72" s="46"/>
      <c r="J72" s="34"/>
      <c r="K72" s="35">
        <v>0</v>
      </c>
      <c r="L72" s="35">
        <f>ROUND(K72,2)</f>
        <v>0</v>
      </c>
      <c r="M72" s="58" t="s">
        <v>2178</v>
      </c>
    </row>
    <row r="73" spans="1:13" ht="15.4" hidden="1" customHeight="1" x14ac:dyDescent="0.2">
      <c r="A73" s="42" t="s">
        <v>179</v>
      </c>
      <c r="B73" s="38"/>
      <c r="C73" s="48" t="s">
        <v>180</v>
      </c>
      <c r="D73" s="48"/>
      <c r="E73" s="48"/>
      <c r="F73" s="48"/>
      <c r="G73" s="48"/>
      <c r="H73" s="48"/>
      <c r="I73" s="48"/>
      <c r="J73" s="38"/>
      <c r="K73" s="39">
        <v>0</v>
      </c>
      <c r="L73" s="39">
        <f>ROUND(K73,2)</f>
        <v>0</v>
      </c>
      <c r="M73" s="58" t="s">
        <v>2178</v>
      </c>
    </row>
    <row r="74" spans="1:13" ht="15.4" hidden="1" customHeight="1" x14ac:dyDescent="0.2">
      <c r="A74" s="3" t="s">
        <v>181</v>
      </c>
      <c r="B74" s="2" t="s">
        <v>182</v>
      </c>
      <c r="C74" s="45" t="s">
        <v>183</v>
      </c>
      <c r="D74" s="45"/>
      <c r="E74" s="45"/>
      <c r="F74" s="45"/>
      <c r="G74" s="45"/>
      <c r="H74" s="45"/>
      <c r="I74" s="45"/>
      <c r="J74" s="4">
        <f>SUM(J77:J77)</f>
        <v>13.61</v>
      </c>
      <c r="K74" s="5">
        <f>ROUND(0*(1+L2/100),2)</f>
        <v>0</v>
      </c>
      <c r="L74" s="5">
        <f>ROUND(J74*K74,2)</f>
        <v>0</v>
      </c>
      <c r="M74" s="58" t="s">
        <v>2178</v>
      </c>
    </row>
    <row r="75" spans="1:13" ht="48.75" hidden="1" customHeight="1" x14ac:dyDescent="0.2">
      <c r="A75" s="6"/>
      <c r="B75" s="6"/>
      <c r="C75" s="45" t="s">
        <v>184</v>
      </c>
      <c r="D75" s="45"/>
      <c r="E75" s="45"/>
      <c r="F75" s="45"/>
      <c r="G75" s="45"/>
      <c r="H75" s="45"/>
      <c r="I75" s="45"/>
      <c r="J75" s="45"/>
      <c r="K75" s="45"/>
      <c r="L75" s="45"/>
      <c r="M75" s="58" t="s">
        <v>2178</v>
      </c>
    </row>
    <row r="76" spans="1:13" ht="15.2" hidden="1" customHeight="1" x14ac:dyDescent="0.2">
      <c r="A76" s="6"/>
      <c r="B76" s="6"/>
      <c r="C76" s="6"/>
      <c r="D76" s="7"/>
      <c r="E76" s="9" t="s">
        <v>185</v>
      </c>
      <c r="F76" s="9" t="s">
        <v>186</v>
      </c>
      <c r="G76" s="9" t="s">
        <v>187</v>
      </c>
      <c r="H76" s="9" t="s">
        <v>188</v>
      </c>
      <c r="I76" s="9" t="s">
        <v>189</v>
      </c>
      <c r="J76" s="9" t="s">
        <v>190</v>
      </c>
      <c r="K76" s="6"/>
      <c r="L76" s="6"/>
      <c r="M76" s="58" t="s">
        <v>2178</v>
      </c>
    </row>
    <row r="77" spans="1:13" ht="24" hidden="1" customHeight="1" x14ac:dyDescent="0.2">
      <c r="A77" s="6"/>
      <c r="B77" s="6"/>
      <c r="C77" s="10"/>
      <c r="D77" s="11" t="s">
        <v>191</v>
      </c>
      <c r="E77" s="12">
        <v>13.61</v>
      </c>
      <c r="F77" s="13"/>
      <c r="G77" s="13"/>
      <c r="H77" s="13"/>
      <c r="I77" s="15">
        <f>ROUND(E77,3)</f>
        <v>13.61</v>
      </c>
      <c r="J77" s="17">
        <f>SUM(I77:I77)</f>
        <v>13.61</v>
      </c>
      <c r="K77" s="6"/>
      <c r="L77" s="6"/>
      <c r="M77" s="58" t="s">
        <v>2178</v>
      </c>
    </row>
    <row r="78" spans="1:13" ht="15.4" hidden="1" customHeight="1" x14ac:dyDescent="0.2">
      <c r="A78" s="3" t="s">
        <v>192</v>
      </c>
      <c r="B78" s="2" t="s">
        <v>193</v>
      </c>
      <c r="C78" s="45" t="s">
        <v>194</v>
      </c>
      <c r="D78" s="45"/>
      <c r="E78" s="45"/>
      <c r="F78" s="45"/>
      <c r="G78" s="45"/>
      <c r="H78" s="45"/>
      <c r="I78" s="45"/>
      <c r="J78" s="4">
        <f>SUM(J81:J82)</f>
        <v>17</v>
      </c>
      <c r="K78" s="5">
        <f>ROUND(0*(1+L2/100),2)</f>
        <v>0</v>
      </c>
      <c r="L78" s="5">
        <f>ROUND(J78*K78,2)</f>
        <v>0</v>
      </c>
      <c r="M78" s="58" t="s">
        <v>2178</v>
      </c>
    </row>
    <row r="79" spans="1:13" ht="49.5" hidden="1" customHeight="1" x14ac:dyDescent="0.2">
      <c r="A79" s="6"/>
      <c r="B79" s="6"/>
      <c r="C79" s="45" t="s">
        <v>195</v>
      </c>
      <c r="D79" s="45"/>
      <c r="E79" s="45"/>
      <c r="F79" s="45"/>
      <c r="G79" s="45"/>
      <c r="H79" s="45"/>
      <c r="I79" s="45"/>
      <c r="J79" s="45"/>
      <c r="K79" s="45"/>
      <c r="L79" s="45"/>
      <c r="M79" s="58" t="s">
        <v>2178</v>
      </c>
    </row>
    <row r="80" spans="1:13" ht="15.2" hidden="1" customHeight="1" x14ac:dyDescent="0.2">
      <c r="A80" s="6"/>
      <c r="B80" s="6"/>
      <c r="C80" s="6"/>
      <c r="D80" s="7"/>
      <c r="E80" s="9" t="s">
        <v>196</v>
      </c>
      <c r="F80" s="9" t="s">
        <v>197</v>
      </c>
      <c r="G80" s="9" t="s">
        <v>198</v>
      </c>
      <c r="H80" s="9" t="s">
        <v>199</v>
      </c>
      <c r="I80" s="9" t="s">
        <v>200</v>
      </c>
      <c r="J80" s="9" t="s">
        <v>201</v>
      </c>
      <c r="K80" s="6"/>
      <c r="L80" s="6"/>
      <c r="M80" s="58" t="s">
        <v>2178</v>
      </c>
    </row>
    <row r="81" spans="1:13" ht="24" hidden="1" customHeight="1" x14ac:dyDescent="0.2">
      <c r="A81" s="6"/>
      <c r="B81" s="6"/>
      <c r="C81" s="10"/>
      <c r="D81" s="11" t="s">
        <v>202</v>
      </c>
      <c r="E81" s="12">
        <v>1</v>
      </c>
      <c r="F81" s="13">
        <v>4</v>
      </c>
      <c r="G81" s="13"/>
      <c r="H81" s="13">
        <v>1</v>
      </c>
      <c r="I81" s="15">
        <f>ROUND(E81*F81*H81,3)</f>
        <v>4</v>
      </c>
      <c r="J81" s="18"/>
      <c r="K81" s="6"/>
      <c r="L81" s="6"/>
      <c r="M81" s="58" t="s">
        <v>2178</v>
      </c>
    </row>
    <row r="82" spans="1:13" hidden="1" x14ac:dyDescent="0.2">
      <c r="A82" s="6"/>
      <c r="B82" s="6"/>
      <c r="C82" s="10"/>
      <c r="D82" s="2" t="s">
        <v>203</v>
      </c>
      <c r="E82" s="1">
        <v>1</v>
      </c>
      <c r="F82" s="5">
        <v>52</v>
      </c>
      <c r="G82" s="5"/>
      <c r="H82" s="5">
        <v>0.25</v>
      </c>
      <c r="I82" s="14">
        <f>ROUND(E82*F82*H82,3)</f>
        <v>13</v>
      </c>
      <c r="J82" s="16">
        <f>SUM(I81:I82)</f>
        <v>17</v>
      </c>
      <c r="K82" s="6"/>
      <c r="L82" s="6"/>
      <c r="M82" s="58" t="s">
        <v>2178</v>
      </c>
    </row>
    <row r="83" spans="1:13" ht="15.4" hidden="1" customHeight="1" x14ac:dyDescent="0.2">
      <c r="A83" s="37" t="s">
        <v>204</v>
      </c>
      <c r="B83" s="34"/>
      <c r="C83" s="46" t="s">
        <v>205</v>
      </c>
      <c r="D83" s="46"/>
      <c r="E83" s="46"/>
      <c r="F83" s="46"/>
      <c r="G83" s="46"/>
      <c r="H83" s="46"/>
      <c r="I83" s="46"/>
      <c r="J83" s="34"/>
      <c r="K83" s="35">
        <v>0</v>
      </c>
      <c r="L83" s="35">
        <f>ROUND(K83,2)</f>
        <v>0</v>
      </c>
      <c r="M83" s="58" t="s">
        <v>2178</v>
      </c>
    </row>
    <row r="84" spans="1:13" ht="15.4" hidden="1" customHeight="1" x14ac:dyDescent="0.2">
      <c r="A84" s="42" t="s">
        <v>206</v>
      </c>
      <c r="B84" s="38"/>
      <c r="C84" s="48" t="s">
        <v>207</v>
      </c>
      <c r="D84" s="48"/>
      <c r="E84" s="48"/>
      <c r="F84" s="48"/>
      <c r="G84" s="48"/>
      <c r="H84" s="48"/>
      <c r="I84" s="48"/>
      <c r="J84" s="38"/>
      <c r="K84" s="39">
        <v>0</v>
      </c>
      <c r="L84" s="39">
        <f>ROUND(K84,2)</f>
        <v>0</v>
      </c>
      <c r="M84" s="58" t="s">
        <v>2178</v>
      </c>
    </row>
    <row r="85" spans="1:13" ht="15.4" hidden="1" customHeight="1" x14ac:dyDescent="0.2">
      <c r="A85" s="3" t="s">
        <v>208</v>
      </c>
      <c r="B85" s="2" t="s">
        <v>209</v>
      </c>
      <c r="C85" s="45" t="s">
        <v>210</v>
      </c>
      <c r="D85" s="45"/>
      <c r="E85" s="45"/>
      <c r="F85" s="45"/>
      <c r="G85" s="45"/>
      <c r="H85" s="45"/>
      <c r="I85" s="45"/>
      <c r="J85" s="4">
        <f>SUM(J88:J92)</f>
        <v>69.875</v>
      </c>
      <c r="K85" s="5">
        <f>ROUND(0*(1+L2/100),2)</f>
        <v>0</v>
      </c>
      <c r="L85" s="5">
        <f>ROUND(J85*K85,2)</f>
        <v>0</v>
      </c>
      <c r="M85" s="58" t="s">
        <v>2178</v>
      </c>
    </row>
    <row r="86" spans="1:13" ht="52.5" hidden="1" customHeight="1" x14ac:dyDescent="0.2">
      <c r="A86" s="6"/>
      <c r="B86" s="6"/>
      <c r="C86" s="45" t="s">
        <v>211</v>
      </c>
      <c r="D86" s="45"/>
      <c r="E86" s="45"/>
      <c r="F86" s="45"/>
      <c r="G86" s="45"/>
      <c r="H86" s="45"/>
      <c r="I86" s="45"/>
      <c r="J86" s="45"/>
      <c r="K86" s="45"/>
      <c r="L86" s="45"/>
      <c r="M86" s="58" t="s">
        <v>2178</v>
      </c>
    </row>
    <row r="87" spans="1:13" ht="15.2" hidden="1" customHeight="1" x14ac:dyDescent="0.2">
      <c r="A87" s="6"/>
      <c r="B87" s="6"/>
      <c r="C87" s="6"/>
      <c r="D87" s="7"/>
      <c r="E87" s="9" t="s">
        <v>212</v>
      </c>
      <c r="F87" s="9" t="s">
        <v>213</v>
      </c>
      <c r="G87" s="9" t="s">
        <v>214</v>
      </c>
      <c r="H87" s="9" t="s">
        <v>215</v>
      </c>
      <c r="I87" s="9" t="s">
        <v>216</v>
      </c>
      <c r="J87" s="9" t="s">
        <v>217</v>
      </c>
      <c r="K87" s="6"/>
      <c r="L87" s="6"/>
      <c r="M87" s="58" t="s">
        <v>2178</v>
      </c>
    </row>
    <row r="88" spans="1:13" ht="24" hidden="1" customHeight="1" x14ac:dyDescent="0.2">
      <c r="A88" s="6"/>
      <c r="B88" s="6"/>
      <c r="C88" s="10"/>
      <c r="D88" s="11" t="s">
        <v>218</v>
      </c>
      <c r="E88" s="12">
        <v>1</v>
      </c>
      <c r="F88" s="13">
        <v>10.3</v>
      </c>
      <c r="G88" s="13"/>
      <c r="H88" s="13">
        <v>1.2</v>
      </c>
      <c r="I88" s="15">
        <f>ROUND(E88*F88*H88,3)</f>
        <v>12.36</v>
      </c>
      <c r="J88" s="18"/>
      <c r="K88" s="6"/>
      <c r="L88" s="6"/>
      <c r="M88" s="58" t="s">
        <v>2178</v>
      </c>
    </row>
    <row r="89" spans="1:13" ht="24" hidden="1" customHeight="1" x14ac:dyDescent="0.2">
      <c r="A89" s="6"/>
      <c r="B89" s="6"/>
      <c r="C89" s="10"/>
      <c r="D89" s="2" t="s">
        <v>219</v>
      </c>
      <c r="E89" s="1">
        <v>1</v>
      </c>
      <c r="F89" s="5">
        <v>26.95</v>
      </c>
      <c r="G89" s="5"/>
      <c r="H89" s="5">
        <v>0.6</v>
      </c>
      <c r="I89" s="14">
        <f>ROUND(E89*F89*H89,3)</f>
        <v>16.170000000000002</v>
      </c>
      <c r="J89" s="6"/>
      <c r="K89" s="6"/>
      <c r="L89" s="6"/>
      <c r="M89" s="58" t="s">
        <v>2178</v>
      </c>
    </row>
    <row r="90" spans="1:13" ht="24" hidden="1" customHeight="1" x14ac:dyDescent="0.2">
      <c r="A90" s="6"/>
      <c r="B90" s="6"/>
      <c r="C90" s="10"/>
      <c r="D90" s="2" t="s">
        <v>220</v>
      </c>
      <c r="E90" s="1">
        <v>1</v>
      </c>
      <c r="F90" s="5">
        <v>6.8</v>
      </c>
      <c r="G90" s="5"/>
      <c r="H90" s="5">
        <v>1.2</v>
      </c>
      <c r="I90" s="14">
        <f>ROUND(E90*F90*H90,3)</f>
        <v>8.16</v>
      </c>
      <c r="J90" s="6"/>
      <c r="K90" s="6"/>
      <c r="L90" s="6"/>
      <c r="M90" s="58" t="s">
        <v>2178</v>
      </c>
    </row>
    <row r="91" spans="1:13" ht="24" hidden="1" customHeight="1" x14ac:dyDescent="0.2">
      <c r="A91" s="6"/>
      <c r="B91" s="6"/>
      <c r="C91" s="10"/>
      <c r="D91" s="2" t="s">
        <v>221</v>
      </c>
      <c r="E91" s="1">
        <v>5</v>
      </c>
      <c r="F91" s="5">
        <v>2</v>
      </c>
      <c r="G91" s="5"/>
      <c r="H91" s="5">
        <v>2</v>
      </c>
      <c r="I91" s="14">
        <f>ROUND(E91*F91*H91,3)</f>
        <v>20</v>
      </c>
      <c r="J91" s="6"/>
      <c r="K91" s="6"/>
      <c r="L91" s="6"/>
      <c r="M91" s="58" t="s">
        <v>2178</v>
      </c>
    </row>
    <row r="92" spans="1:13" ht="24" hidden="1" customHeight="1" x14ac:dyDescent="0.2">
      <c r="A92" s="6"/>
      <c r="B92" s="6"/>
      <c r="C92" s="10"/>
      <c r="D92" s="2" t="s">
        <v>222</v>
      </c>
      <c r="E92" s="1">
        <v>1</v>
      </c>
      <c r="F92" s="5">
        <v>14.65</v>
      </c>
      <c r="G92" s="5"/>
      <c r="H92" s="5">
        <v>0.9</v>
      </c>
      <c r="I92" s="14">
        <f>ROUND(E92*F92*H92,3)</f>
        <v>13.185</v>
      </c>
      <c r="J92" s="16">
        <f>SUM(I88:I92)</f>
        <v>69.875</v>
      </c>
      <c r="K92" s="6"/>
      <c r="L92" s="6"/>
      <c r="M92" s="58" t="s">
        <v>2178</v>
      </c>
    </row>
    <row r="93" spans="1:13" ht="15.4" hidden="1" customHeight="1" x14ac:dyDescent="0.2">
      <c r="A93" s="37" t="s">
        <v>223</v>
      </c>
      <c r="B93" s="34"/>
      <c r="C93" s="46" t="s">
        <v>224</v>
      </c>
      <c r="D93" s="46"/>
      <c r="E93" s="46"/>
      <c r="F93" s="46"/>
      <c r="G93" s="46"/>
      <c r="H93" s="46"/>
      <c r="I93" s="46"/>
      <c r="J93" s="34"/>
      <c r="K93" s="35">
        <v>0</v>
      </c>
      <c r="L93" s="35">
        <f>ROUND(K93,2)</f>
        <v>0</v>
      </c>
      <c r="M93" s="58" t="s">
        <v>2178</v>
      </c>
    </row>
    <row r="94" spans="1:13" ht="15.4" hidden="1" customHeight="1" x14ac:dyDescent="0.2">
      <c r="A94" s="42" t="s">
        <v>225</v>
      </c>
      <c r="B94" s="38"/>
      <c r="C94" s="48" t="s">
        <v>226</v>
      </c>
      <c r="D94" s="48"/>
      <c r="E94" s="48"/>
      <c r="F94" s="48"/>
      <c r="G94" s="48"/>
      <c r="H94" s="48"/>
      <c r="I94" s="48"/>
      <c r="J94" s="38"/>
      <c r="K94" s="39">
        <v>0</v>
      </c>
      <c r="L94" s="39">
        <f>ROUND(K94,2)</f>
        <v>0</v>
      </c>
      <c r="M94" s="58" t="s">
        <v>2178</v>
      </c>
    </row>
    <row r="95" spans="1:13" ht="15.4" hidden="1" customHeight="1" x14ac:dyDescent="0.2">
      <c r="A95" s="3" t="s">
        <v>227</v>
      </c>
      <c r="B95" s="2" t="s">
        <v>228</v>
      </c>
      <c r="C95" s="45" t="s">
        <v>229</v>
      </c>
      <c r="D95" s="45"/>
      <c r="E95" s="45"/>
      <c r="F95" s="45"/>
      <c r="G95" s="45"/>
      <c r="H95" s="45"/>
      <c r="I95" s="45"/>
      <c r="J95" s="4">
        <f>ROUND(1,2)</f>
        <v>1</v>
      </c>
      <c r="K95" s="5">
        <f>ROUND(0*(1+L2/100),2)</f>
        <v>0</v>
      </c>
      <c r="L95" s="5">
        <f>ROUND(J95*K95,2)</f>
        <v>0</v>
      </c>
      <c r="M95" s="58" t="s">
        <v>2178</v>
      </c>
    </row>
    <row r="96" spans="1:13" ht="28.5" hidden="1" customHeight="1" x14ac:dyDescent="0.2">
      <c r="A96" s="6"/>
      <c r="B96" s="6"/>
      <c r="C96" s="45" t="s">
        <v>230</v>
      </c>
      <c r="D96" s="45"/>
      <c r="E96" s="45"/>
      <c r="F96" s="45"/>
      <c r="G96" s="45"/>
      <c r="H96" s="45"/>
      <c r="I96" s="45"/>
      <c r="J96" s="45"/>
      <c r="K96" s="45"/>
      <c r="L96" s="45"/>
      <c r="M96" s="58" t="s">
        <v>2178</v>
      </c>
    </row>
    <row r="97" spans="1:14" ht="15.4" hidden="1" customHeight="1" x14ac:dyDescent="0.2">
      <c r="A97" s="43" t="s">
        <v>231</v>
      </c>
      <c r="B97" s="40"/>
      <c r="C97" s="49" t="s">
        <v>232</v>
      </c>
      <c r="D97" s="49"/>
      <c r="E97" s="49"/>
      <c r="F97" s="49"/>
      <c r="G97" s="49"/>
      <c r="H97" s="49"/>
      <c r="I97" s="49"/>
      <c r="J97" s="40"/>
      <c r="K97" s="41">
        <v>0</v>
      </c>
      <c r="L97" s="41">
        <f>ROUND(K97,2)</f>
        <v>0</v>
      </c>
      <c r="M97" s="58" t="s">
        <v>2178</v>
      </c>
    </row>
    <row r="98" spans="1:14" ht="15.4" hidden="1" customHeight="1" x14ac:dyDescent="0.2">
      <c r="A98" s="3" t="s">
        <v>233</v>
      </c>
      <c r="B98" s="2" t="s">
        <v>234</v>
      </c>
      <c r="C98" s="45" t="s">
        <v>235</v>
      </c>
      <c r="D98" s="45"/>
      <c r="E98" s="45"/>
      <c r="F98" s="45"/>
      <c r="G98" s="45"/>
      <c r="H98" s="45"/>
      <c r="I98" s="45"/>
      <c r="J98" s="4">
        <f>SUM(J101:J101)</f>
        <v>4.8</v>
      </c>
      <c r="K98" s="5">
        <f>ROUND(0*(1+L2/100),2)</f>
        <v>0</v>
      </c>
      <c r="L98" s="5">
        <f>ROUND(J98*K98,2)</f>
        <v>0</v>
      </c>
      <c r="M98" s="58" t="s">
        <v>2178</v>
      </c>
    </row>
    <row r="99" spans="1:14" ht="42.75" hidden="1" customHeight="1" x14ac:dyDescent="0.2">
      <c r="A99" s="6"/>
      <c r="B99" s="6"/>
      <c r="C99" s="45" t="s">
        <v>236</v>
      </c>
      <c r="D99" s="45"/>
      <c r="E99" s="45"/>
      <c r="F99" s="45"/>
      <c r="G99" s="45"/>
      <c r="H99" s="45"/>
      <c r="I99" s="45"/>
      <c r="J99" s="45"/>
      <c r="K99" s="45"/>
      <c r="L99" s="45"/>
      <c r="M99" s="58" t="s">
        <v>2178</v>
      </c>
    </row>
    <row r="100" spans="1:14" ht="15.2" hidden="1" customHeight="1" x14ac:dyDescent="0.2">
      <c r="A100" s="6"/>
      <c r="B100" s="6"/>
      <c r="C100" s="6"/>
      <c r="D100" s="7"/>
      <c r="E100" s="9" t="s">
        <v>237</v>
      </c>
      <c r="F100" s="9" t="s">
        <v>238</v>
      </c>
      <c r="G100" s="9" t="s">
        <v>239</v>
      </c>
      <c r="H100" s="9" t="s">
        <v>240</v>
      </c>
      <c r="I100" s="9" t="s">
        <v>241</v>
      </c>
      <c r="J100" s="9" t="s">
        <v>242</v>
      </c>
      <c r="K100" s="6"/>
      <c r="L100" s="6"/>
      <c r="M100" s="58" t="s">
        <v>2178</v>
      </c>
    </row>
    <row r="101" spans="1:14" ht="15.2" hidden="1" customHeight="1" x14ac:dyDescent="0.2">
      <c r="A101" s="6"/>
      <c r="B101" s="6"/>
      <c r="C101" s="10"/>
      <c r="D101" s="11" t="s">
        <v>243</v>
      </c>
      <c r="E101" s="12">
        <v>1</v>
      </c>
      <c r="F101" s="13">
        <v>4.8</v>
      </c>
      <c r="G101" s="13"/>
      <c r="H101" s="13"/>
      <c r="I101" s="15">
        <f>ROUND(E101*F101,3)</f>
        <v>4.8</v>
      </c>
      <c r="J101" s="17">
        <f>SUM(I101:I101)</f>
        <v>4.8</v>
      </c>
      <c r="K101" s="6"/>
      <c r="L101" s="6"/>
      <c r="M101" s="58" t="s">
        <v>2178</v>
      </c>
    </row>
    <row r="102" spans="1:14" ht="15.4" hidden="1" customHeight="1" x14ac:dyDescent="0.2">
      <c r="A102" s="37" t="s">
        <v>244</v>
      </c>
      <c r="B102" s="34"/>
      <c r="C102" s="46" t="s">
        <v>245</v>
      </c>
      <c r="D102" s="46"/>
      <c r="E102" s="46"/>
      <c r="F102" s="46"/>
      <c r="G102" s="46"/>
      <c r="H102" s="46"/>
      <c r="I102" s="46"/>
      <c r="J102" s="34"/>
      <c r="K102" s="35">
        <v>0</v>
      </c>
      <c r="L102" s="35">
        <f>ROUND(K102,2)</f>
        <v>0</v>
      </c>
      <c r="M102" s="58" t="s">
        <v>2178</v>
      </c>
    </row>
    <row r="103" spans="1:14" ht="15.4" hidden="1" customHeight="1" x14ac:dyDescent="0.2">
      <c r="A103" s="42" t="s">
        <v>246</v>
      </c>
      <c r="B103" s="38"/>
      <c r="C103" s="48" t="s">
        <v>247</v>
      </c>
      <c r="D103" s="48"/>
      <c r="E103" s="48"/>
      <c r="F103" s="48"/>
      <c r="G103" s="48"/>
      <c r="H103" s="48"/>
      <c r="I103" s="48"/>
      <c r="J103" s="38"/>
      <c r="K103" s="39">
        <v>0</v>
      </c>
      <c r="L103" s="39">
        <f>ROUND(K103,2)</f>
        <v>0</v>
      </c>
      <c r="M103" s="58" t="s">
        <v>2178</v>
      </c>
    </row>
    <row r="104" spans="1:14" ht="15.4" hidden="1" customHeight="1" x14ac:dyDescent="0.2">
      <c r="A104" s="3" t="s">
        <v>248</v>
      </c>
      <c r="B104" s="2" t="s">
        <v>249</v>
      </c>
      <c r="C104" s="45" t="s">
        <v>250</v>
      </c>
      <c r="D104" s="45"/>
      <c r="E104" s="45"/>
      <c r="F104" s="45"/>
      <c r="G104" s="45"/>
      <c r="H104" s="45"/>
      <c r="I104" s="45"/>
      <c r="J104" s="4">
        <f>SUM(J107:J108)</f>
        <v>248</v>
      </c>
      <c r="K104" s="5">
        <f>ROUND(0*(1+L2/100),2)</f>
        <v>0</v>
      </c>
      <c r="L104" s="5">
        <f>ROUND(J104*K104,2)</f>
        <v>0</v>
      </c>
      <c r="M104" s="58" t="s">
        <v>2178</v>
      </c>
    </row>
    <row r="105" spans="1:14" ht="42.75" hidden="1" customHeight="1" x14ac:dyDescent="0.2">
      <c r="A105" s="6"/>
      <c r="B105" s="6"/>
      <c r="C105" s="45" t="s">
        <v>251</v>
      </c>
      <c r="D105" s="45"/>
      <c r="E105" s="45"/>
      <c r="F105" s="45"/>
      <c r="G105" s="45"/>
      <c r="H105" s="45"/>
      <c r="I105" s="45"/>
      <c r="J105" s="45"/>
      <c r="K105" s="45"/>
      <c r="L105" s="45"/>
      <c r="M105" s="58" t="s">
        <v>2178</v>
      </c>
    </row>
    <row r="106" spans="1:14" ht="15.2" hidden="1" customHeight="1" x14ac:dyDescent="0.2">
      <c r="A106" s="6"/>
      <c r="B106" s="6"/>
      <c r="C106" s="6"/>
      <c r="D106" s="7"/>
      <c r="E106" s="9" t="s">
        <v>252</v>
      </c>
      <c r="F106" s="9" t="s">
        <v>253</v>
      </c>
      <c r="G106" s="9" t="s">
        <v>254</v>
      </c>
      <c r="H106" s="9" t="s">
        <v>255</v>
      </c>
      <c r="I106" s="9" t="s">
        <v>256</v>
      </c>
      <c r="J106" s="9" t="s">
        <v>257</v>
      </c>
      <c r="K106" s="6"/>
      <c r="L106" s="6"/>
      <c r="M106" s="58" t="s">
        <v>2178</v>
      </c>
    </row>
    <row r="107" spans="1:14" ht="22.5" hidden="1" x14ac:dyDescent="0.2">
      <c r="A107" s="6"/>
      <c r="B107" s="6"/>
      <c r="C107" s="10"/>
      <c r="D107" s="11" t="s">
        <v>258</v>
      </c>
      <c r="E107" s="12">
        <v>1</v>
      </c>
      <c r="F107" s="13">
        <v>223</v>
      </c>
      <c r="G107" s="13"/>
      <c r="H107" s="13"/>
      <c r="I107" s="15">
        <f>ROUND(E107*F107,3)</f>
        <v>223</v>
      </c>
      <c r="J107" s="18"/>
      <c r="K107" s="6"/>
      <c r="L107" s="6"/>
      <c r="M107" s="58" t="s">
        <v>2178</v>
      </c>
    </row>
    <row r="108" spans="1:14" ht="15.2" hidden="1" customHeight="1" x14ac:dyDescent="0.2">
      <c r="A108" s="6"/>
      <c r="B108" s="6"/>
      <c r="C108" s="10"/>
      <c r="D108" s="2" t="s">
        <v>259</v>
      </c>
      <c r="E108" s="1">
        <v>1</v>
      </c>
      <c r="F108" s="5">
        <v>25</v>
      </c>
      <c r="G108" s="5"/>
      <c r="H108" s="5"/>
      <c r="I108" s="14">
        <f>ROUND(E108*F108,3)</f>
        <v>25</v>
      </c>
      <c r="J108" s="16">
        <f>SUM(I107:I108)</f>
        <v>248</v>
      </c>
      <c r="K108" s="6"/>
      <c r="L108" s="6"/>
      <c r="M108" s="58" t="s">
        <v>2178</v>
      </c>
    </row>
    <row r="109" spans="1:14" ht="15.4" hidden="1" customHeight="1" x14ac:dyDescent="0.2">
      <c r="A109" s="31" t="s">
        <v>260</v>
      </c>
      <c r="B109" s="28"/>
      <c r="C109" s="44" t="s">
        <v>261</v>
      </c>
      <c r="D109" s="44"/>
      <c r="E109" s="44"/>
      <c r="F109" s="44"/>
      <c r="G109" s="44"/>
      <c r="H109" s="44"/>
      <c r="I109" s="44"/>
      <c r="J109" s="28"/>
      <c r="K109" s="29">
        <v>0</v>
      </c>
      <c r="L109" s="29">
        <f>ROUND(K109,2)</f>
        <v>0</v>
      </c>
      <c r="N109" s="58" t="s">
        <v>2176</v>
      </c>
    </row>
    <row r="110" spans="1:14" ht="15.4" hidden="1" customHeight="1" x14ac:dyDescent="0.2">
      <c r="A110" s="36" t="s">
        <v>262</v>
      </c>
      <c r="B110" s="32"/>
      <c r="C110" s="47" t="s">
        <v>263</v>
      </c>
      <c r="D110" s="47"/>
      <c r="E110" s="47"/>
      <c r="F110" s="47"/>
      <c r="G110" s="47"/>
      <c r="H110" s="47"/>
      <c r="I110" s="47"/>
      <c r="J110" s="32"/>
      <c r="K110" s="33">
        <v>0</v>
      </c>
      <c r="L110" s="33">
        <f>ROUND(K110,2)</f>
        <v>0</v>
      </c>
      <c r="N110" s="58" t="s">
        <v>2176</v>
      </c>
    </row>
    <row r="111" spans="1:14" ht="15.4" hidden="1" customHeight="1" x14ac:dyDescent="0.2">
      <c r="A111" s="3" t="s">
        <v>264</v>
      </c>
      <c r="B111" s="2" t="s">
        <v>265</v>
      </c>
      <c r="C111" s="45" t="s">
        <v>266</v>
      </c>
      <c r="D111" s="45"/>
      <c r="E111" s="45"/>
      <c r="F111" s="45"/>
      <c r="G111" s="45"/>
      <c r="H111" s="45"/>
      <c r="I111" s="45"/>
      <c r="J111" s="4">
        <f>SUM(J114:J115)</f>
        <v>8</v>
      </c>
      <c r="K111" s="5">
        <f>ROUND(0*(1+L2/100),2)</f>
        <v>0</v>
      </c>
      <c r="L111" s="5">
        <f>ROUND(J111*K111,2)</f>
        <v>0</v>
      </c>
      <c r="N111" s="58" t="s">
        <v>2176</v>
      </c>
    </row>
    <row r="112" spans="1:14" ht="63.75" hidden="1" customHeight="1" x14ac:dyDescent="0.2">
      <c r="A112" s="6"/>
      <c r="B112" s="6"/>
      <c r="C112" s="45" t="s">
        <v>267</v>
      </c>
      <c r="D112" s="45"/>
      <c r="E112" s="45"/>
      <c r="F112" s="45"/>
      <c r="G112" s="45"/>
      <c r="H112" s="45"/>
      <c r="I112" s="45"/>
      <c r="J112" s="45"/>
      <c r="K112" s="45"/>
      <c r="L112" s="45"/>
      <c r="N112" s="58" t="s">
        <v>2176</v>
      </c>
    </row>
    <row r="113" spans="1:14" ht="15.2" hidden="1" customHeight="1" x14ac:dyDescent="0.2">
      <c r="A113" s="6"/>
      <c r="B113" s="6"/>
      <c r="C113" s="6"/>
      <c r="D113" s="7"/>
      <c r="E113" s="9" t="s">
        <v>268</v>
      </c>
      <c r="F113" s="9" t="s">
        <v>269</v>
      </c>
      <c r="G113" s="9" t="s">
        <v>270</v>
      </c>
      <c r="H113" s="9" t="s">
        <v>271</v>
      </c>
      <c r="I113" s="9" t="s">
        <v>272</v>
      </c>
      <c r="J113" s="9" t="s">
        <v>273</v>
      </c>
      <c r="K113" s="6"/>
      <c r="L113" s="6"/>
      <c r="N113" s="58" t="s">
        <v>2176</v>
      </c>
    </row>
    <row r="114" spans="1:14" ht="22.5" hidden="1" x14ac:dyDescent="0.2">
      <c r="A114" s="6"/>
      <c r="B114" s="6"/>
      <c r="C114" s="10"/>
      <c r="D114" s="11" t="s">
        <v>274</v>
      </c>
      <c r="E114" s="12">
        <v>3</v>
      </c>
      <c r="F114" s="13"/>
      <c r="G114" s="13"/>
      <c r="H114" s="13"/>
      <c r="I114" s="15">
        <f>ROUND(E114,3)</f>
        <v>3</v>
      </c>
      <c r="J114" s="18"/>
      <c r="K114" s="6"/>
      <c r="L114" s="6"/>
      <c r="N114" s="58" t="s">
        <v>2176</v>
      </c>
    </row>
    <row r="115" spans="1:14" ht="22.5" hidden="1" x14ac:dyDescent="0.2">
      <c r="A115" s="6"/>
      <c r="B115" s="6"/>
      <c r="C115" s="10"/>
      <c r="D115" s="2" t="s">
        <v>275</v>
      </c>
      <c r="E115" s="1">
        <v>5</v>
      </c>
      <c r="F115" s="5"/>
      <c r="G115" s="5"/>
      <c r="H115" s="5"/>
      <c r="I115" s="14">
        <f>ROUND(E115,3)</f>
        <v>5</v>
      </c>
      <c r="J115" s="16">
        <f>SUM(I114:I115)</f>
        <v>8</v>
      </c>
      <c r="K115" s="6"/>
      <c r="L115" s="6"/>
      <c r="N115" s="58" t="s">
        <v>2176</v>
      </c>
    </row>
    <row r="116" spans="1:14" ht="15.4" hidden="1" customHeight="1" x14ac:dyDescent="0.2">
      <c r="A116" s="3" t="s">
        <v>276</v>
      </c>
      <c r="B116" s="2" t="s">
        <v>277</v>
      </c>
      <c r="C116" s="45" t="s">
        <v>278</v>
      </c>
      <c r="D116" s="45"/>
      <c r="E116" s="45"/>
      <c r="F116" s="45"/>
      <c r="G116" s="45"/>
      <c r="H116" s="45"/>
      <c r="I116" s="45"/>
      <c r="J116" s="4">
        <f>SUM(J119:J119)</f>
        <v>24.3</v>
      </c>
      <c r="K116" s="5">
        <f>ROUND(0*(1+L2/100),2)</f>
        <v>0</v>
      </c>
      <c r="L116" s="5">
        <f>ROUND(J116*K116,2)</f>
        <v>0</v>
      </c>
      <c r="N116" s="58" t="s">
        <v>2176</v>
      </c>
    </row>
    <row r="117" spans="1:14" ht="51" hidden="1" customHeight="1" x14ac:dyDescent="0.2">
      <c r="A117" s="6"/>
      <c r="B117" s="6"/>
      <c r="C117" s="45" t="s">
        <v>279</v>
      </c>
      <c r="D117" s="45"/>
      <c r="E117" s="45"/>
      <c r="F117" s="45"/>
      <c r="G117" s="45"/>
      <c r="H117" s="45"/>
      <c r="I117" s="45"/>
      <c r="J117" s="45"/>
      <c r="K117" s="45"/>
      <c r="L117" s="45"/>
      <c r="N117" s="58" t="s">
        <v>2176</v>
      </c>
    </row>
    <row r="118" spans="1:14" ht="15.2" hidden="1" customHeight="1" x14ac:dyDescent="0.2">
      <c r="A118" s="6"/>
      <c r="B118" s="6"/>
      <c r="C118" s="6"/>
      <c r="D118" s="7"/>
      <c r="E118" s="9" t="s">
        <v>280</v>
      </c>
      <c r="F118" s="9" t="s">
        <v>281</v>
      </c>
      <c r="G118" s="9" t="s">
        <v>282</v>
      </c>
      <c r="H118" s="9" t="s">
        <v>283</v>
      </c>
      <c r="I118" s="9" t="s">
        <v>284</v>
      </c>
      <c r="J118" s="9" t="s">
        <v>285</v>
      </c>
      <c r="K118" s="6"/>
      <c r="L118" s="6"/>
      <c r="N118" s="58" t="s">
        <v>2176</v>
      </c>
    </row>
    <row r="119" spans="1:14" ht="15.2" hidden="1" customHeight="1" x14ac:dyDescent="0.2">
      <c r="A119" s="6"/>
      <c r="B119" s="6"/>
      <c r="C119" s="10"/>
      <c r="D119" s="11" t="s">
        <v>286</v>
      </c>
      <c r="E119" s="12">
        <v>1</v>
      </c>
      <c r="F119" s="13">
        <v>4.5</v>
      </c>
      <c r="G119" s="13">
        <v>3</v>
      </c>
      <c r="H119" s="13">
        <v>1.8</v>
      </c>
      <c r="I119" s="15">
        <f>ROUND(E119*F119*G119*H119,3)</f>
        <v>24.3</v>
      </c>
      <c r="J119" s="17">
        <f>SUM(I119:I119)</f>
        <v>24.3</v>
      </c>
      <c r="K119" s="6"/>
      <c r="L119" s="6"/>
      <c r="N119" s="58" t="s">
        <v>2176</v>
      </c>
    </row>
    <row r="120" spans="1:14" ht="15.4" hidden="1" customHeight="1" x14ac:dyDescent="0.2">
      <c r="A120" s="3" t="s">
        <v>287</v>
      </c>
      <c r="B120" s="2" t="s">
        <v>288</v>
      </c>
      <c r="C120" s="45" t="s">
        <v>289</v>
      </c>
      <c r="D120" s="45"/>
      <c r="E120" s="45"/>
      <c r="F120" s="45"/>
      <c r="G120" s="45"/>
      <c r="H120" s="45"/>
      <c r="I120" s="45"/>
      <c r="J120" s="4">
        <f>SUM(J123:J131)</f>
        <v>11.485999999999999</v>
      </c>
      <c r="K120" s="5">
        <f>ROUND(0*(1+L2/100),2)</f>
        <v>0</v>
      </c>
      <c r="L120" s="5">
        <f>ROUND(J120*K120,2)</f>
        <v>0</v>
      </c>
      <c r="N120" s="58" t="s">
        <v>2176</v>
      </c>
    </row>
    <row r="121" spans="1:14" ht="51.75" hidden="1" customHeight="1" x14ac:dyDescent="0.2">
      <c r="A121" s="6"/>
      <c r="B121" s="6"/>
      <c r="C121" s="45" t="s">
        <v>290</v>
      </c>
      <c r="D121" s="45"/>
      <c r="E121" s="45"/>
      <c r="F121" s="45"/>
      <c r="G121" s="45"/>
      <c r="H121" s="45"/>
      <c r="I121" s="45"/>
      <c r="J121" s="45"/>
      <c r="K121" s="45"/>
      <c r="L121" s="45"/>
      <c r="N121" s="58" t="s">
        <v>2176</v>
      </c>
    </row>
    <row r="122" spans="1:14" ht="15.2" hidden="1" customHeight="1" x14ac:dyDescent="0.2">
      <c r="A122" s="6"/>
      <c r="B122" s="6"/>
      <c r="C122" s="6"/>
      <c r="D122" s="7"/>
      <c r="E122" s="9" t="s">
        <v>291</v>
      </c>
      <c r="F122" s="9" t="s">
        <v>292</v>
      </c>
      <c r="G122" s="9" t="s">
        <v>293</v>
      </c>
      <c r="H122" s="9" t="s">
        <v>294</v>
      </c>
      <c r="I122" s="9" t="s">
        <v>295</v>
      </c>
      <c r="J122" s="9" t="s">
        <v>296</v>
      </c>
      <c r="K122" s="6"/>
      <c r="L122" s="6"/>
      <c r="N122" s="58" t="s">
        <v>2176</v>
      </c>
    </row>
    <row r="123" spans="1:14" hidden="1" x14ac:dyDescent="0.2">
      <c r="A123" s="6"/>
      <c r="B123" s="6"/>
      <c r="C123" s="10"/>
      <c r="D123" s="11" t="s">
        <v>297</v>
      </c>
      <c r="E123" s="12">
        <v>1</v>
      </c>
      <c r="F123" s="13">
        <v>26</v>
      </c>
      <c r="G123" s="13">
        <v>0.3</v>
      </c>
      <c r="H123" s="13">
        <v>0.3</v>
      </c>
      <c r="I123" s="15">
        <f>ROUND(E123*F123*G123*H123,3)</f>
        <v>2.34</v>
      </c>
      <c r="J123" s="18"/>
      <c r="K123" s="6"/>
      <c r="L123" s="6"/>
      <c r="N123" s="58" t="s">
        <v>2176</v>
      </c>
    </row>
    <row r="124" spans="1:14" hidden="1" x14ac:dyDescent="0.2">
      <c r="A124" s="6"/>
      <c r="B124" s="6"/>
      <c r="C124" s="10"/>
      <c r="D124" s="2" t="s">
        <v>298</v>
      </c>
      <c r="E124" s="1">
        <v>1</v>
      </c>
      <c r="F124" s="5">
        <v>12</v>
      </c>
      <c r="G124" s="5">
        <v>0.3</v>
      </c>
      <c r="H124" s="5">
        <v>0.3</v>
      </c>
      <c r="I124" s="14">
        <f>ROUND(E124*F124*G124*H124,3)</f>
        <v>1.08</v>
      </c>
      <c r="J124" s="6"/>
      <c r="K124" s="6"/>
      <c r="L124" s="6"/>
      <c r="N124" s="58" t="s">
        <v>2176</v>
      </c>
    </row>
    <row r="125" spans="1:14" ht="22.5" hidden="1" x14ac:dyDescent="0.2">
      <c r="A125" s="6"/>
      <c r="B125" s="6"/>
      <c r="C125" s="10"/>
      <c r="D125" s="2" t="s">
        <v>299</v>
      </c>
      <c r="E125" s="1">
        <v>1</v>
      </c>
      <c r="F125" s="5">
        <v>2</v>
      </c>
      <c r="G125" s="5">
        <v>1</v>
      </c>
      <c r="H125" s="5">
        <v>1</v>
      </c>
      <c r="I125" s="14">
        <f>ROUND(E125*F125*G125*H125,3)</f>
        <v>2</v>
      </c>
      <c r="J125" s="6"/>
      <c r="K125" s="6"/>
      <c r="L125" s="6"/>
      <c r="N125" s="58" t="s">
        <v>2176</v>
      </c>
    </row>
    <row r="126" spans="1:14" ht="45" hidden="1" x14ac:dyDescent="0.2">
      <c r="A126" s="6"/>
      <c r="B126" s="6"/>
      <c r="C126" s="10"/>
      <c r="D126" s="2" t="s">
        <v>300</v>
      </c>
      <c r="E126" s="1">
        <v>1</v>
      </c>
      <c r="F126" s="5">
        <v>0.5</v>
      </c>
      <c r="G126" s="5"/>
      <c r="H126" s="5">
        <v>1.5</v>
      </c>
      <c r="I126" s="14">
        <f>ROUND(E126*F126*H126,3)</f>
        <v>0.75</v>
      </c>
      <c r="J126" s="6"/>
      <c r="K126" s="6"/>
      <c r="L126" s="6"/>
      <c r="N126" s="58" t="s">
        <v>2176</v>
      </c>
    </row>
    <row r="127" spans="1:14" ht="22.5" hidden="1" x14ac:dyDescent="0.2">
      <c r="A127" s="6"/>
      <c r="B127" s="6"/>
      <c r="C127" s="10"/>
      <c r="D127" s="2" t="s">
        <v>301</v>
      </c>
      <c r="E127" s="1">
        <v>1</v>
      </c>
      <c r="F127" s="5">
        <v>0.95</v>
      </c>
      <c r="G127" s="5"/>
      <c r="H127" s="5">
        <v>1.5</v>
      </c>
      <c r="I127" s="14">
        <f>ROUND(E127*F127*H127,3)</f>
        <v>1.425</v>
      </c>
      <c r="J127" s="6"/>
      <c r="K127" s="6"/>
      <c r="L127" s="6"/>
      <c r="N127" s="58" t="s">
        <v>2176</v>
      </c>
    </row>
    <row r="128" spans="1:14" ht="22.5" hidden="1" x14ac:dyDescent="0.2">
      <c r="A128" s="6"/>
      <c r="B128" s="6"/>
      <c r="C128" s="10"/>
      <c r="D128" s="2" t="s">
        <v>302</v>
      </c>
      <c r="E128" s="1">
        <v>1</v>
      </c>
      <c r="F128" s="5">
        <v>0.95</v>
      </c>
      <c r="G128" s="5"/>
      <c r="H128" s="5">
        <v>1.5</v>
      </c>
      <c r="I128" s="14">
        <f>ROUND(E128*F128*H128,3)</f>
        <v>1.425</v>
      </c>
      <c r="J128" s="6"/>
      <c r="K128" s="6"/>
      <c r="L128" s="6"/>
      <c r="N128" s="58" t="s">
        <v>2176</v>
      </c>
    </row>
    <row r="129" spans="1:14" ht="33.75" hidden="1" x14ac:dyDescent="0.2">
      <c r="A129" s="6"/>
      <c r="B129" s="6"/>
      <c r="C129" s="10"/>
      <c r="D129" s="2" t="s">
        <v>303</v>
      </c>
      <c r="E129" s="1">
        <v>1</v>
      </c>
      <c r="F129" s="5">
        <v>0.6</v>
      </c>
      <c r="G129" s="5">
        <v>0.6</v>
      </c>
      <c r="H129" s="5">
        <v>0.9</v>
      </c>
      <c r="I129" s="14">
        <f>ROUND(E129*F129*G129*H129,3)</f>
        <v>0.32400000000000001</v>
      </c>
      <c r="J129" s="6"/>
      <c r="K129" s="6"/>
      <c r="L129" s="6"/>
      <c r="N129" s="58" t="s">
        <v>2176</v>
      </c>
    </row>
    <row r="130" spans="1:14" ht="33.75" hidden="1" x14ac:dyDescent="0.2">
      <c r="A130" s="6"/>
      <c r="B130" s="6"/>
      <c r="C130" s="10"/>
      <c r="D130" s="2" t="s">
        <v>304</v>
      </c>
      <c r="E130" s="1">
        <v>1</v>
      </c>
      <c r="F130" s="5">
        <v>8.8000000000000007</v>
      </c>
      <c r="G130" s="5">
        <v>0.3</v>
      </c>
      <c r="H130" s="5">
        <v>0.3</v>
      </c>
      <c r="I130" s="14">
        <f>ROUND(E130*F130*G130*H130,3)</f>
        <v>0.79200000000000004</v>
      </c>
      <c r="J130" s="6"/>
      <c r="K130" s="6"/>
      <c r="L130" s="6"/>
      <c r="N130" s="58" t="s">
        <v>2176</v>
      </c>
    </row>
    <row r="131" spans="1:14" ht="22.5" hidden="1" x14ac:dyDescent="0.2">
      <c r="A131" s="6"/>
      <c r="B131" s="6"/>
      <c r="C131" s="10"/>
      <c r="D131" s="2" t="s">
        <v>305</v>
      </c>
      <c r="E131" s="1">
        <v>1</v>
      </c>
      <c r="F131" s="5">
        <v>15</v>
      </c>
      <c r="G131" s="5">
        <v>0.3</v>
      </c>
      <c r="H131" s="5">
        <v>0.3</v>
      </c>
      <c r="I131" s="14">
        <f>ROUND(E131*F131*G131*H131,3)</f>
        <v>1.35</v>
      </c>
      <c r="J131" s="16">
        <f>SUM(I123:I131)</f>
        <v>11.485999999999999</v>
      </c>
      <c r="K131" s="6"/>
      <c r="L131" s="6"/>
      <c r="N131" s="58" t="s">
        <v>2176</v>
      </c>
    </row>
    <row r="132" spans="1:14" ht="15.4" hidden="1" customHeight="1" x14ac:dyDescent="0.2">
      <c r="A132" s="3" t="s">
        <v>306</v>
      </c>
      <c r="B132" s="2" t="s">
        <v>307</v>
      </c>
      <c r="C132" s="45" t="s">
        <v>308</v>
      </c>
      <c r="D132" s="45"/>
      <c r="E132" s="45"/>
      <c r="F132" s="45"/>
      <c r="G132" s="45"/>
      <c r="H132" s="45"/>
      <c r="I132" s="45"/>
      <c r="J132" s="4">
        <f>SUM(J135:J137)</f>
        <v>4.8959999999999999</v>
      </c>
      <c r="K132" s="5">
        <f>ROUND(0*(1+L2/100),2)</f>
        <v>0</v>
      </c>
      <c r="L132" s="5">
        <f>ROUND(J132*K132,2)</f>
        <v>0</v>
      </c>
      <c r="N132" s="58" t="s">
        <v>2176</v>
      </c>
    </row>
    <row r="133" spans="1:14" ht="59.25" hidden="1" customHeight="1" x14ac:dyDescent="0.2">
      <c r="A133" s="6"/>
      <c r="B133" s="6"/>
      <c r="C133" s="45" t="s">
        <v>309</v>
      </c>
      <c r="D133" s="45"/>
      <c r="E133" s="45"/>
      <c r="F133" s="45"/>
      <c r="G133" s="45"/>
      <c r="H133" s="45"/>
      <c r="I133" s="45"/>
      <c r="J133" s="45"/>
      <c r="K133" s="45"/>
      <c r="L133" s="45"/>
      <c r="N133" s="58" t="s">
        <v>2176</v>
      </c>
    </row>
    <row r="134" spans="1:14" ht="15.2" hidden="1" customHeight="1" x14ac:dyDescent="0.2">
      <c r="A134" s="6"/>
      <c r="B134" s="6"/>
      <c r="C134" s="6"/>
      <c r="D134" s="7"/>
      <c r="E134" s="9" t="s">
        <v>310</v>
      </c>
      <c r="F134" s="9" t="s">
        <v>311</v>
      </c>
      <c r="G134" s="9" t="s">
        <v>312</v>
      </c>
      <c r="H134" s="9" t="s">
        <v>313</v>
      </c>
      <c r="I134" s="9" t="s">
        <v>314</v>
      </c>
      <c r="J134" s="9" t="s">
        <v>315</v>
      </c>
      <c r="K134" s="6"/>
      <c r="L134" s="6"/>
      <c r="N134" s="58" t="s">
        <v>2176</v>
      </c>
    </row>
    <row r="135" spans="1:14" hidden="1" x14ac:dyDescent="0.2">
      <c r="A135" s="6"/>
      <c r="B135" s="6"/>
      <c r="C135" s="10"/>
      <c r="D135" s="11" t="s">
        <v>316</v>
      </c>
      <c r="E135" s="12">
        <v>1.2</v>
      </c>
      <c r="F135" s="13">
        <v>26</v>
      </c>
      <c r="G135" s="13">
        <v>0.3</v>
      </c>
      <c r="H135" s="13">
        <v>0.3</v>
      </c>
      <c r="I135" s="15">
        <f>ROUND(E135*F135*G135*H135,3)</f>
        <v>2.8079999999999998</v>
      </c>
      <c r="J135" s="18"/>
      <c r="K135" s="6"/>
      <c r="L135" s="6"/>
      <c r="N135" s="58" t="s">
        <v>2176</v>
      </c>
    </row>
    <row r="136" spans="1:14" hidden="1" x14ac:dyDescent="0.2">
      <c r="A136" s="6"/>
      <c r="B136" s="6"/>
      <c r="C136" s="10"/>
      <c r="D136" s="2" t="s">
        <v>317</v>
      </c>
      <c r="E136" s="1">
        <v>1.2</v>
      </c>
      <c r="F136" s="5">
        <v>12</v>
      </c>
      <c r="G136" s="5">
        <v>0.3</v>
      </c>
      <c r="H136" s="5">
        <v>0.3</v>
      </c>
      <c r="I136" s="14">
        <f>ROUND(E136*F136*G136*H136,3)</f>
        <v>1.296</v>
      </c>
      <c r="J136" s="6"/>
      <c r="K136" s="6"/>
      <c r="L136" s="6"/>
      <c r="N136" s="58" t="s">
        <v>2176</v>
      </c>
    </row>
    <row r="137" spans="1:14" ht="33.75" hidden="1" x14ac:dyDescent="0.2">
      <c r="A137" s="6"/>
      <c r="B137" s="6"/>
      <c r="C137" s="10"/>
      <c r="D137" s="2" t="s">
        <v>318</v>
      </c>
      <c r="E137" s="1">
        <v>1</v>
      </c>
      <c r="F137" s="5">
        <v>8.8000000000000007</v>
      </c>
      <c r="G137" s="5">
        <v>0.3</v>
      </c>
      <c r="H137" s="5">
        <v>0.3</v>
      </c>
      <c r="I137" s="14">
        <f>ROUND(E137*F137*G137*H137,3)</f>
        <v>0.79200000000000004</v>
      </c>
      <c r="J137" s="16">
        <f>SUM(I135:I137)</f>
        <v>4.8959999999999999</v>
      </c>
      <c r="K137" s="6"/>
      <c r="L137" s="6"/>
      <c r="N137" s="58" t="s">
        <v>2176</v>
      </c>
    </row>
    <row r="138" spans="1:14" ht="15.4" hidden="1" customHeight="1" x14ac:dyDescent="0.2">
      <c r="A138" s="3" t="s">
        <v>319</v>
      </c>
      <c r="B138" s="2" t="s">
        <v>320</v>
      </c>
      <c r="C138" s="45" t="s">
        <v>321</v>
      </c>
      <c r="D138" s="45"/>
      <c r="E138" s="45"/>
      <c r="F138" s="45"/>
      <c r="G138" s="45"/>
      <c r="H138" s="45"/>
      <c r="I138" s="45"/>
      <c r="J138" s="4">
        <f>SUM(J141:J141)</f>
        <v>13.5</v>
      </c>
      <c r="K138" s="5">
        <f>ROUND(0*(1+L2/100),2)</f>
        <v>0</v>
      </c>
      <c r="L138" s="5">
        <f>ROUND(J138*K138,2)</f>
        <v>0</v>
      </c>
      <c r="N138" s="58" t="s">
        <v>2176</v>
      </c>
    </row>
    <row r="139" spans="1:14" ht="53.25" hidden="1" customHeight="1" x14ac:dyDescent="0.2">
      <c r="A139" s="6"/>
      <c r="B139" s="6"/>
      <c r="C139" s="45" t="s">
        <v>322</v>
      </c>
      <c r="D139" s="45"/>
      <c r="E139" s="45"/>
      <c r="F139" s="45"/>
      <c r="G139" s="45"/>
      <c r="H139" s="45"/>
      <c r="I139" s="45"/>
      <c r="J139" s="45"/>
      <c r="K139" s="45"/>
      <c r="L139" s="45"/>
      <c r="N139" s="58" t="s">
        <v>2176</v>
      </c>
    </row>
    <row r="140" spans="1:14" ht="15.2" hidden="1" customHeight="1" x14ac:dyDescent="0.2">
      <c r="A140" s="6"/>
      <c r="B140" s="6"/>
      <c r="C140" s="6"/>
      <c r="D140" s="7"/>
      <c r="E140" s="9" t="s">
        <v>323</v>
      </c>
      <c r="F140" s="9" t="s">
        <v>324</v>
      </c>
      <c r="G140" s="9" t="s">
        <v>325</v>
      </c>
      <c r="H140" s="9" t="s">
        <v>326</v>
      </c>
      <c r="I140" s="9" t="s">
        <v>327</v>
      </c>
      <c r="J140" s="9" t="s">
        <v>328</v>
      </c>
      <c r="K140" s="6"/>
      <c r="L140" s="6"/>
      <c r="N140" s="58" t="s">
        <v>2176</v>
      </c>
    </row>
    <row r="141" spans="1:14" ht="15.2" hidden="1" customHeight="1" x14ac:dyDescent="0.2">
      <c r="A141" s="6"/>
      <c r="B141" s="6"/>
      <c r="C141" s="10"/>
      <c r="D141" s="11" t="s">
        <v>329</v>
      </c>
      <c r="E141" s="12">
        <v>1</v>
      </c>
      <c r="F141" s="13">
        <v>4.5</v>
      </c>
      <c r="G141" s="13">
        <v>3</v>
      </c>
      <c r="H141" s="13"/>
      <c r="I141" s="15">
        <f>ROUND(E141*F141*G141,3)</f>
        <v>13.5</v>
      </c>
      <c r="J141" s="17">
        <f>SUM(I141:I141)</f>
        <v>13.5</v>
      </c>
      <c r="K141" s="6"/>
      <c r="L141" s="6"/>
      <c r="N141" s="58" t="s">
        <v>2176</v>
      </c>
    </row>
    <row r="142" spans="1:14" ht="15.4" hidden="1" customHeight="1" x14ac:dyDescent="0.2">
      <c r="A142" s="3" t="s">
        <v>330</v>
      </c>
      <c r="B142" s="2" t="s">
        <v>331</v>
      </c>
      <c r="C142" s="45" t="s">
        <v>332</v>
      </c>
      <c r="D142" s="45"/>
      <c r="E142" s="45"/>
      <c r="F142" s="45"/>
      <c r="G142" s="45"/>
      <c r="H142" s="45"/>
      <c r="I142" s="45"/>
      <c r="J142" s="4">
        <f>SUM(J145:J156)</f>
        <v>51.052999999999997</v>
      </c>
      <c r="K142" s="5">
        <f>ROUND(0*(1+L2/100),2)</f>
        <v>0</v>
      </c>
      <c r="L142" s="5">
        <f>ROUND(J142*K142,2)</f>
        <v>0</v>
      </c>
      <c r="N142" s="58" t="s">
        <v>2176</v>
      </c>
    </row>
    <row r="143" spans="1:14" ht="53.25" hidden="1" customHeight="1" x14ac:dyDescent="0.2">
      <c r="A143" s="6"/>
      <c r="B143" s="6"/>
      <c r="C143" s="45" t="s">
        <v>333</v>
      </c>
      <c r="D143" s="45"/>
      <c r="E143" s="45"/>
      <c r="F143" s="45"/>
      <c r="G143" s="45"/>
      <c r="H143" s="45"/>
      <c r="I143" s="45"/>
      <c r="J143" s="45"/>
      <c r="K143" s="45"/>
      <c r="L143" s="45"/>
      <c r="N143" s="58" t="s">
        <v>2176</v>
      </c>
    </row>
    <row r="144" spans="1:14" ht="15.2" hidden="1" customHeight="1" x14ac:dyDescent="0.2">
      <c r="A144" s="6"/>
      <c r="B144" s="6"/>
      <c r="C144" s="6"/>
      <c r="D144" s="7"/>
      <c r="E144" s="9" t="s">
        <v>334</v>
      </c>
      <c r="F144" s="9" t="s">
        <v>335</v>
      </c>
      <c r="G144" s="9" t="s">
        <v>336</v>
      </c>
      <c r="H144" s="9" t="s">
        <v>337</v>
      </c>
      <c r="I144" s="9" t="s">
        <v>338</v>
      </c>
      <c r="J144" s="9" t="s">
        <v>339</v>
      </c>
      <c r="K144" s="6"/>
      <c r="L144" s="6"/>
      <c r="N144" s="58" t="s">
        <v>2176</v>
      </c>
    </row>
    <row r="145" spans="1:14" hidden="1" x14ac:dyDescent="0.2">
      <c r="A145" s="6"/>
      <c r="B145" s="6"/>
      <c r="C145" s="10"/>
      <c r="D145" s="11" t="s">
        <v>340</v>
      </c>
      <c r="E145" s="12">
        <v>1.2</v>
      </c>
      <c r="F145" s="13">
        <v>26</v>
      </c>
      <c r="G145" s="13">
        <v>0.3</v>
      </c>
      <c r="H145" s="13">
        <v>0.3</v>
      </c>
      <c r="I145" s="15">
        <f>ROUND(E145*F145*G145*H145,3)</f>
        <v>2.8079999999999998</v>
      </c>
      <c r="J145" s="18"/>
      <c r="K145" s="6"/>
      <c r="L145" s="6"/>
      <c r="N145" s="58" t="s">
        <v>2176</v>
      </c>
    </row>
    <row r="146" spans="1:14" hidden="1" x14ac:dyDescent="0.2">
      <c r="A146" s="6"/>
      <c r="B146" s="6"/>
      <c r="C146" s="10"/>
      <c r="D146" s="2" t="s">
        <v>341</v>
      </c>
      <c r="E146" s="1">
        <v>1.2</v>
      </c>
      <c r="F146" s="5">
        <v>12</v>
      </c>
      <c r="G146" s="5">
        <v>0.3</v>
      </c>
      <c r="H146" s="5">
        <v>0.3</v>
      </c>
      <c r="I146" s="14">
        <f>ROUND(E146*F146*G146*H146,3)</f>
        <v>1.296</v>
      </c>
      <c r="J146" s="6"/>
      <c r="K146" s="6"/>
      <c r="L146" s="6"/>
      <c r="N146" s="58" t="s">
        <v>2176</v>
      </c>
    </row>
    <row r="147" spans="1:14" ht="22.5" hidden="1" x14ac:dyDescent="0.2">
      <c r="A147" s="6"/>
      <c r="B147" s="6"/>
      <c r="C147" s="10"/>
      <c r="D147" s="2" t="s">
        <v>342</v>
      </c>
      <c r="E147" s="1">
        <v>1.2</v>
      </c>
      <c r="F147" s="5">
        <v>2</v>
      </c>
      <c r="G147" s="5">
        <v>1</v>
      </c>
      <c r="H147" s="5">
        <v>1</v>
      </c>
      <c r="I147" s="14">
        <f>ROUND(E147*F147*G147*H147,3)</f>
        <v>2.4</v>
      </c>
      <c r="J147" s="6"/>
      <c r="K147" s="6"/>
      <c r="L147" s="6"/>
      <c r="N147" s="58" t="s">
        <v>2176</v>
      </c>
    </row>
    <row r="148" spans="1:14" ht="45" hidden="1" x14ac:dyDescent="0.2">
      <c r="A148" s="6"/>
      <c r="B148" s="6"/>
      <c r="C148" s="10"/>
      <c r="D148" s="2" t="s">
        <v>343</v>
      </c>
      <c r="E148" s="1">
        <v>1.2</v>
      </c>
      <c r="F148" s="5">
        <v>0.5</v>
      </c>
      <c r="G148" s="5"/>
      <c r="H148" s="5">
        <v>1.5</v>
      </c>
      <c r="I148" s="14">
        <f>ROUND(E148*F148*H148,3)</f>
        <v>0.9</v>
      </c>
      <c r="J148" s="6"/>
      <c r="K148" s="6"/>
      <c r="L148" s="6"/>
      <c r="N148" s="58" t="s">
        <v>2176</v>
      </c>
    </row>
    <row r="149" spans="1:14" ht="22.5" hidden="1" x14ac:dyDescent="0.2">
      <c r="A149" s="6"/>
      <c r="B149" s="6"/>
      <c r="C149" s="10"/>
      <c r="D149" s="2" t="s">
        <v>344</v>
      </c>
      <c r="E149" s="1">
        <v>1.2</v>
      </c>
      <c r="F149" s="5">
        <v>0.95</v>
      </c>
      <c r="G149" s="5"/>
      <c r="H149" s="5">
        <v>1.5</v>
      </c>
      <c r="I149" s="14">
        <f>ROUND(E149*F149*H149,3)</f>
        <v>1.71</v>
      </c>
      <c r="J149" s="6"/>
      <c r="K149" s="6"/>
      <c r="L149" s="6"/>
      <c r="N149" s="58" t="s">
        <v>2176</v>
      </c>
    </row>
    <row r="150" spans="1:14" ht="22.5" hidden="1" x14ac:dyDescent="0.2">
      <c r="A150" s="6"/>
      <c r="B150" s="6"/>
      <c r="C150" s="10"/>
      <c r="D150" s="2" t="s">
        <v>345</v>
      </c>
      <c r="E150" s="1">
        <v>1.2</v>
      </c>
      <c r="F150" s="5">
        <v>0.95</v>
      </c>
      <c r="G150" s="5"/>
      <c r="H150" s="5">
        <v>1.5</v>
      </c>
      <c r="I150" s="14">
        <f>ROUND(E150*F150*H150,3)</f>
        <v>1.71</v>
      </c>
      <c r="J150" s="6"/>
      <c r="K150" s="6"/>
      <c r="L150" s="6"/>
      <c r="N150" s="58" t="s">
        <v>2176</v>
      </c>
    </row>
    <row r="151" spans="1:14" ht="33.75" hidden="1" x14ac:dyDescent="0.2">
      <c r="A151" s="6"/>
      <c r="B151" s="6"/>
      <c r="C151" s="10"/>
      <c r="D151" s="2" t="s">
        <v>346</v>
      </c>
      <c r="E151" s="1">
        <v>1.2</v>
      </c>
      <c r="F151" s="5">
        <v>0.6</v>
      </c>
      <c r="G151" s="5">
        <v>0.6</v>
      </c>
      <c r="H151" s="5">
        <v>0.9</v>
      </c>
      <c r="I151" s="14">
        <f t="shared" ref="I151:I156" si="0">ROUND(E151*F151*G151*H151,3)</f>
        <v>0.38900000000000001</v>
      </c>
      <c r="J151" s="6"/>
      <c r="K151" s="6"/>
      <c r="L151" s="6"/>
      <c r="N151" s="58" t="s">
        <v>2176</v>
      </c>
    </row>
    <row r="152" spans="1:14" ht="33.75" hidden="1" x14ac:dyDescent="0.2">
      <c r="A152" s="6"/>
      <c r="B152" s="6"/>
      <c r="C152" s="10"/>
      <c r="D152" s="2" t="s">
        <v>347</v>
      </c>
      <c r="E152" s="1">
        <v>1.2</v>
      </c>
      <c r="F152" s="5">
        <v>8.8000000000000007</v>
      </c>
      <c r="G152" s="5">
        <v>0.3</v>
      </c>
      <c r="H152" s="5">
        <v>0.3</v>
      </c>
      <c r="I152" s="14">
        <f t="shared" si="0"/>
        <v>0.95</v>
      </c>
      <c r="J152" s="6"/>
      <c r="K152" s="6"/>
      <c r="L152" s="6"/>
      <c r="N152" s="58" t="s">
        <v>2176</v>
      </c>
    </row>
    <row r="153" spans="1:14" ht="22.5" hidden="1" x14ac:dyDescent="0.2">
      <c r="A153" s="6"/>
      <c r="B153" s="6"/>
      <c r="C153" s="10"/>
      <c r="D153" s="2" t="s">
        <v>348</v>
      </c>
      <c r="E153" s="1">
        <v>1.2</v>
      </c>
      <c r="F153" s="5">
        <v>15</v>
      </c>
      <c r="G153" s="5">
        <v>0.3</v>
      </c>
      <c r="H153" s="5">
        <v>0.3</v>
      </c>
      <c r="I153" s="14">
        <f t="shared" si="0"/>
        <v>1.62</v>
      </c>
      <c r="J153" s="6"/>
      <c r="K153" s="6"/>
      <c r="L153" s="6"/>
      <c r="N153" s="58" t="s">
        <v>2176</v>
      </c>
    </row>
    <row r="154" spans="1:14" hidden="1" x14ac:dyDescent="0.2">
      <c r="A154" s="6"/>
      <c r="B154" s="6"/>
      <c r="C154" s="10"/>
      <c r="D154" s="2" t="s">
        <v>349</v>
      </c>
      <c r="E154" s="1">
        <v>1.2</v>
      </c>
      <c r="F154" s="5">
        <v>4.5</v>
      </c>
      <c r="G154" s="5">
        <v>3</v>
      </c>
      <c r="H154" s="5">
        <v>1.8</v>
      </c>
      <c r="I154" s="14">
        <f t="shared" si="0"/>
        <v>29.16</v>
      </c>
      <c r="J154" s="6"/>
      <c r="K154" s="6"/>
      <c r="L154" s="6"/>
      <c r="N154" s="58" t="s">
        <v>2176</v>
      </c>
    </row>
    <row r="155" spans="1:14" ht="22.5" hidden="1" x14ac:dyDescent="0.2">
      <c r="A155" s="6"/>
      <c r="B155" s="6"/>
      <c r="C155" s="10"/>
      <c r="D155" s="2" t="s">
        <v>350</v>
      </c>
      <c r="E155" s="1">
        <v>1.2</v>
      </c>
      <c r="F155" s="5">
        <v>17.3</v>
      </c>
      <c r="G155" s="5">
        <v>0.4</v>
      </c>
      <c r="H155" s="5">
        <v>0.4</v>
      </c>
      <c r="I155" s="14">
        <f t="shared" si="0"/>
        <v>3.3220000000000001</v>
      </c>
      <c r="J155" s="6"/>
      <c r="K155" s="6"/>
      <c r="L155" s="6"/>
      <c r="N155" s="58" t="s">
        <v>2176</v>
      </c>
    </row>
    <row r="156" spans="1:14" hidden="1" x14ac:dyDescent="0.2">
      <c r="A156" s="6"/>
      <c r="B156" s="6"/>
      <c r="C156" s="10"/>
      <c r="D156" s="2" t="s">
        <v>351</v>
      </c>
      <c r="E156" s="1">
        <v>1.2</v>
      </c>
      <c r="F156" s="5">
        <v>7.6</v>
      </c>
      <c r="G156" s="5">
        <v>1.05</v>
      </c>
      <c r="H156" s="5">
        <v>0.5</v>
      </c>
      <c r="I156" s="14">
        <f t="shared" si="0"/>
        <v>4.7880000000000003</v>
      </c>
      <c r="J156" s="16">
        <f>SUM(I145:I156)</f>
        <v>51.052999999999997</v>
      </c>
      <c r="K156" s="6"/>
      <c r="L156" s="6"/>
      <c r="N156" s="58" t="s">
        <v>2176</v>
      </c>
    </row>
    <row r="157" spans="1:14" ht="15.4" hidden="1" customHeight="1" x14ac:dyDescent="0.2">
      <c r="A157" s="3" t="s">
        <v>352</v>
      </c>
      <c r="B157" s="2" t="s">
        <v>353</v>
      </c>
      <c r="C157" s="45" t="s">
        <v>354</v>
      </c>
      <c r="D157" s="45"/>
      <c r="E157" s="45"/>
      <c r="F157" s="45"/>
      <c r="G157" s="45"/>
      <c r="H157" s="45"/>
      <c r="I157" s="45"/>
      <c r="J157" s="4">
        <f>SUM(J160:J171)</f>
        <v>51.052999999999997</v>
      </c>
      <c r="K157" s="5">
        <f>ROUND(0*(1+L2/100),2)</f>
        <v>0</v>
      </c>
      <c r="L157" s="5">
        <f>ROUND(J157*K157,2)</f>
        <v>0</v>
      </c>
      <c r="N157" s="58" t="s">
        <v>2176</v>
      </c>
    </row>
    <row r="158" spans="1:14" ht="32.25" hidden="1" customHeight="1" x14ac:dyDescent="0.2">
      <c r="A158" s="6"/>
      <c r="B158" s="6"/>
      <c r="C158" s="45" t="s">
        <v>355</v>
      </c>
      <c r="D158" s="45"/>
      <c r="E158" s="45"/>
      <c r="F158" s="45"/>
      <c r="G158" s="45"/>
      <c r="H158" s="45"/>
      <c r="I158" s="45"/>
      <c r="J158" s="45"/>
      <c r="K158" s="45"/>
      <c r="L158" s="45"/>
      <c r="N158" s="58" t="s">
        <v>2176</v>
      </c>
    </row>
    <row r="159" spans="1:14" ht="15.2" hidden="1" customHeight="1" x14ac:dyDescent="0.2">
      <c r="A159" s="6"/>
      <c r="B159" s="6"/>
      <c r="C159" s="6"/>
      <c r="D159" s="7"/>
      <c r="E159" s="9" t="s">
        <v>356</v>
      </c>
      <c r="F159" s="9" t="s">
        <v>357</v>
      </c>
      <c r="G159" s="9" t="s">
        <v>358</v>
      </c>
      <c r="H159" s="9" t="s">
        <v>359</v>
      </c>
      <c r="I159" s="9" t="s">
        <v>360</v>
      </c>
      <c r="J159" s="9" t="s">
        <v>361</v>
      </c>
      <c r="K159" s="6"/>
      <c r="L159" s="6"/>
      <c r="N159" s="58" t="s">
        <v>2176</v>
      </c>
    </row>
    <row r="160" spans="1:14" hidden="1" x14ac:dyDescent="0.2">
      <c r="A160" s="6"/>
      <c r="B160" s="6"/>
      <c r="C160" s="10"/>
      <c r="D160" s="11" t="s">
        <v>362</v>
      </c>
      <c r="E160" s="12">
        <v>1.2</v>
      </c>
      <c r="F160" s="13">
        <v>26</v>
      </c>
      <c r="G160" s="13">
        <v>0.3</v>
      </c>
      <c r="H160" s="13">
        <v>0.3</v>
      </c>
      <c r="I160" s="15">
        <f>ROUND(E160*F160*G160*H160,3)</f>
        <v>2.8079999999999998</v>
      </c>
      <c r="J160" s="18"/>
      <c r="K160" s="6"/>
      <c r="L160" s="6"/>
      <c r="N160" s="58" t="s">
        <v>2176</v>
      </c>
    </row>
    <row r="161" spans="1:14" hidden="1" x14ac:dyDescent="0.2">
      <c r="A161" s="6"/>
      <c r="B161" s="6"/>
      <c r="C161" s="10"/>
      <c r="D161" s="2" t="s">
        <v>363</v>
      </c>
      <c r="E161" s="1">
        <v>1.2</v>
      </c>
      <c r="F161" s="5">
        <v>12</v>
      </c>
      <c r="G161" s="5">
        <v>0.3</v>
      </c>
      <c r="H161" s="5">
        <v>0.3</v>
      </c>
      <c r="I161" s="14">
        <f>ROUND(E161*F161*G161*H161,3)</f>
        <v>1.296</v>
      </c>
      <c r="J161" s="6"/>
      <c r="K161" s="6"/>
      <c r="L161" s="6"/>
      <c r="N161" s="58" t="s">
        <v>2176</v>
      </c>
    </row>
    <row r="162" spans="1:14" ht="22.5" hidden="1" x14ac:dyDescent="0.2">
      <c r="A162" s="6"/>
      <c r="B162" s="6"/>
      <c r="C162" s="10"/>
      <c r="D162" s="2" t="s">
        <v>364</v>
      </c>
      <c r="E162" s="1">
        <v>1.2</v>
      </c>
      <c r="F162" s="5">
        <v>2</v>
      </c>
      <c r="G162" s="5">
        <v>1</v>
      </c>
      <c r="H162" s="5">
        <v>1</v>
      </c>
      <c r="I162" s="14">
        <f>ROUND(E162*F162*G162*H162,3)</f>
        <v>2.4</v>
      </c>
      <c r="J162" s="6"/>
      <c r="K162" s="6"/>
      <c r="L162" s="6"/>
      <c r="N162" s="58" t="s">
        <v>2176</v>
      </c>
    </row>
    <row r="163" spans="1:14" ht="45" hidden="1" x14ac:dyDescent="0.2">
      <c r="A163" s="6"/>
      <c r="B163" s="6"/>
      <c r="C163" s="10"/>
      <c r="D163" s="2" t="s">
        <v>365</v>
      </c>
      <c r="E163" s="1">
        <v>1.2</v>
      </c>
      <c r="F163" s="5">
        <v>0.5</v>
      </c>
      <c r="G163" s="5"/>
      <c r="H163" s="5">
        <v>1.5</v>
      </c>
      <c r="I163" s="14">
        <f>ROUND(E163*F163*H163,3)</f>
        <v>0.9</v>
      </c>
      <c r="J163" s="6"/>
      <c r="K163" s="6"/>
      <c r="L163" s="6"/>
      <c r="N163" s="58" t="s">
        <v>2176</v>
      </c>
    </row>
    <row r="164" spans="1:14" ht="22.5" hidden="1" x14ac:dyDescent="0.2">
      <c r="A164" s="6"/>
      <c r="B164" s="6"/>
      <c r="C164" s="10"/>
      <c r="D164" s="2" t="s">
        <v>366</v>
      </c>
      <c r="E164" s="1">
        <v>1.2</v>
      </c>
      <c r="F164" s="5">
        <v>0.95</v>
      </c>
      <c r="G164" s="5"/>
      <c r="H164" s="5">
        <v>1.5</v>
      </c>
      <c r="I164" s="14">
        <f>ROUND(E164*F164*H164,3)</f>
        <v>1.71</v>
      </c>
      <c r="J164" s="6"/>
      <c r="K164" s="6"/>
      <c r="L164" s="6"/>
      <c r="N164" s="58" t="s">
        <v>2176</v>
      </c>
    </row>
    <row r="165" spans="1:14" ht="22.5" hidden="1" x14ac:dyDescent="0.2">
      <c r="A165" s="6"/>
      <c r="B165" s="6"/>
      <c r="C165" s="10"/>
      <c r="D165" s="2" t="s">
        <v>367</v>
      </c>
      <c r="E165" s="1">
        <v>1.2</v>
      </c>
      <c r="F165" s="5">
        <v>0.95</v>
      </c>
      <c r="G165" s="5"/>
      <c r="H165" s="5">
        <v>1.5</v>
      </c>
      <c r="I165" s="14">
        <f>ROUND(E165*F165*H165,3)</f>
        <v>1.71</v>
      </c>
      <c r="J165" s="6"/>
      <c r="K165" s="6"/>
      <c r="L165" s="6"/>
      <c r="N165" s="58" t="s">
        <v>2176</v>
      </c>
    </row>
    <row r="166" spans="1:14" ht="33.75" hidden="1" x14ac:dyDescent="0.2">
      <c r="A166" s="6"/>
      <c r="B166" s="6"/>
      <c r="C166" s="10"/>
      <c r="D166" s="2" t="s">
        <v>368</v>
      </c>
      <c r="E166" s="1">
        <v>1.2</v>
      </c>
      <c r="F166" s="5">
        <v>0.6</v>
      </c>
      <c r="G166" s="5">
        <v>0.6</v>
      </c>
      <c r="H166" s="5">
        <v>0.9</v>
      </c>
      <c r="I166" s="14">
        <f t="shared" ref="I166:I171" si="1">ROUND(E166*F166*G166*H166,3)</f>
        <v>0.38900000000000001</v>
      </c>
      <c r="J166" s="6"/>
      <c r="K166" s="6"/>
      <c r="L166" s="6"/>
      <c r="N166" s="58" t="s">
        <v>2176</v>
      </c>
    </row>
    <row r="167" spans="1:14" ht="33.75" hidden="1" x14ac:dyDescent="0.2">
      <c r="A167" s="6"/>
      <c r="B167" s="6"/>
      <c r="C167" s="10"/>
      <c r="D167" s="2" t="s">
        <v>369</v>
      </c>
      <c r="E167" s="1">
        <v>1.2</v>
      </c>
      <c r="F167" s="5">
        <v>8.8000000000000007</v>
      </c>
      <c r="G167" s="5">
        <v>0.3</v>
      </c>
      <c r="H167" s="5">
        <v>0.3</v>
      </c>
      <c r="I167" s="14">
        <f t="shared" si="1"/>
        <v>0.95</v>
      </c>
      <c r="J167" s="6"/>
      <c r="K167" s="6"/>
      <c r="L167" s="6"/>
      <c r="N167" s="58" t="s">
        <v>2176</v>
      </c>
    </row>
    <row r="168" spans="1:14" ht="22.5" hidden="1" x14ac:dyDescent="0.2">
      <c r="A168" s="6"/>
      <c r="B168" s="6"/>
      <c r="C168" s="10"/>
      <c r="D168" s="2" t="s">
        <v>370</v>
      </c>
      <c r="E168" s="1">
        <v>1.2</v>
      </c>
      <c r="F168" s="5">
        <v>15</v>
      </c>
      <c r="G168" s="5">
        <v>0.3</v>
      </c>
      <c r="H168" s="5">
        <v>0.3</v>
      </c>
      <c r="I168" s="14">
        <f t="shared" si="1"/>
        <v>1.62</v>
      </c>
      <c r="J168" s="6"/>
      <c r="K168" s="6"/>
      <c r="L168" s="6"/>
      <c r="N168" s="58" t="s">
        <v>2176</v>
      </c>
    </row>
    <row r="169" spans="1:14" hidden="1" x14ac:dyDescent="0.2">
      <c r="A169" s="6"/>
      <c r="B169" s="6"/>
      <c r="C169" s="10"/>
      <c r="D169" s="2" t="s">
        <v>371</v>
      </c>
      <c r="E169" s="1">
        <v>1.2</v>
      </c>
      <c r="F169" s="5">
        <v>4.5</v>
      </c>
      <c r="G169" s="5">
        <v>3</v>
      </c>
      <c r="H169" s="5">
        <v>1.8</v>
      </c>
      <c r="I169" s="14">
        <f t="shared" si="1"/>
        <v>29.16</v>
      </c>
      <c r="J169" s="6"/>
      <c r="K169" s="6"/>
      <c r="L169" s="6"/>
      <c r="N169" s="58" t="s">
        <v>2176</v>
      </c>
    </row>
    <row r="170" spans="1:14" ht="22.5" hidden="1" x14ac:dyDescent="0.2">
      <c r="A170" s="6"/>
      <c r="B170" s="6"/>
      <c r="C170" s="10"/>
      <c r="D170" s="2" t="s">
        <v>372</v>
      </c>
      <c r="E170" s="1">
        <v>1.2</v>
      </c>
      <c r="F170" s="5">
        <v>17.3</v>
      </c>
      <c r="G170" s="5">
        <v>0.4</v>
      </c>
      <c r="H170" s="5">
        <v>0.4</v>
      </c>
      <c r="I170" s="14">
        <f t="shared" si="1"/>
        <v>3.3220000000000001</v>
      </c>
      <c r="J170" s="6"/>
      <c r="K170" s="6"/>
      <c r="L170" s="6"/>
      <c r="N170" s="58" t="s">
        <v>2176</v>
      </c>
    </row>
    <row r="171" spans="1:14" hidden="1" x14ac:dyDescent="0.2">
      <c r="A171" s="6"/>
      <c r="B171" s="6"/>
      <c r="C171" s="10"/>
      <c r="D171" s="2" t="s">
        <v>373</v>
      </c>
      <c r="E171" s="1">
        <v>1.2</v>
      </c>
      <c r="F171" s="5">
        <v>7.6</v>
      </c>
      <c r="G171" s="5">
        <v>1.05</v>
      </c>
      <c r="H171" s="5">
        <v>0.5</v>
      </c>
      <c r="I171" s="14">
        <f t="shared" si="1"/>
        <v>4.7880000000000003</v>
      </c>
      <c r="J171" s="16">
        <f>SUM(I160:I171)</f>
        <v>51.052999999999997</v>
      </c>
      <c r="K171" s="6"/>
      <c r="L171" s="6"/>
      <c r="N171" s="58" t="s">
        <v>2176</v>
      </c>
    </row>
    <row r="172" spans="1:14" ht="15.4" hidden="1" customHeight="1" x14ac:dyDescent="0.2">
      <c r="A172" s="3" t="s">
        <v>374</v>
      </c>
      <c r="B172" s="2" t="s">
        <v>375</v>
      </c>
      <c r="C172" s="45" t="s">
        <v>376</v>
      </c>
      <c r="D172" s="45"/>
      <c r="E172" s="45"/>
      <c r="F172" s="45"/>
      <c r="G172" s="45"/>
      <c r="H172" s="45"/>
      <c r="I172" s="45"/>
      <c r="J172" s="4">
        <f>SUM(J175:J176)</f>
        <v>6.758</v>
      </c>
      <c r="K172" s="5">
        <f>ROUND(0*(1+L2/100),2)</f>
        <v>0</v>
      </c>
      <c r="L172" s="5">
        <f>ROUND(J172*K172,2)</f>
        <v>0</v>
      </c>
      <c r="N172" s="58" t="s">
        <v>2176</v>
      </c>
    </row>
    <row r="173" spans="1:14" ht="54" hidden="1" customHeight="1" x14ac:dyDescent="0.2">
      <c r="A173" s="6"/>
      <c r="B173" s="6"/>
      <c r="C173" s="45" t="s">
        <v>377</v>
      </c>
      <c r="D173" s="45"/>
      <c r="E173" s="45"/>
      <c r="F173" s="45"/>
      <c r="G173" s="45"/>
      <c r="H173" s="45"/>
      <c r="I173" s="45"/>
      <c r="J173" s="45"/>
      <c r="K173" s="45"/>
      <c r="L173" s="45"/>
      <c r="N173" s="58" t="s">
        <v>2176</v>
      </c>
    </row>
    <row r="174" spans="1:14" ht="15.2" hidden="1" customHeight="1" x14ac:dyDescent="0.2">
      <c r="A174" s="6"/>
      <c r="B174" s="6"/>
      <c r="C174" s="6"/>
      <c r="D174" s="7"/>
      <c r="E174" s="9" t="s">
        <v>378</v>
      </c>
      <c r="F174" s="9" t="s">
        <v>379</v>
      </c>
      <c r="G174" s="9" t="s">
        <v>380</v>
      </c>
      <c r="H174" s="9" t="s">
        <v>381</v>
      </c>
      <c r="I174" s="9" t="s">
        <v>382</v>
      </c>
      <c r="J174" s="9" t="s">
        <v>383</v>
      </c>
      <c r="K174" s="6"/>
      <c r="L174" s="6"/>
      <c r="N174" s="58" t="s">
        <v>2176</v>
      </c>
    </row>
    <row r="175" spans="1:14" ht="22.5" hidden="1" x14ac:dyDescent="0.2">
      <c r="A175" s="6"/>
      <c r="B175" s="6"/>
      <c r="C175" s="10"/>
      <c r="D175" s="11" t="s">
        <v>384</v>
      </c>
      <c r="E175" s="12">
        <v>1</v>
      </c>
      <c r="F175" s="13">
        <v>17.3</v>
      </c>
      <c r="G175" s="13">
        <v>0.4</v>
      </c>
      <c r="H175" s="13">
        <v>0.4</v>
      </c>
      <c r="I175" s="15">
        <f>ROUND(E175*F175*G175*H175,3)</f>
        <v>2.7679999999999998</v>
      </c>
      <c r="J175" s="18"/>
      <c r="K175" s="6"/>
      <c r="L175" s="6"/>
      <c r="N175" s="58" t="s">
        <v>2176</v>
      </c>
    </row>
    <row r="176" spans="1:14" hidden="1" x14ac:dyDescent="0.2">
      <c r="A176" s="6"/>
      <c r="B176" s="6"/>
      <c r="C176" s="10"/>
      <c r="D176" s="2" t="s">
        <v>385</v>
      </c>
      <c r="E176" s="1">
        <v>1</v>
      </c>
      <c r="F176" s="5">
        <v>7.6</v>
      </c>
      <c r="G176" s="5">
        <v>1.05</v>
      </c>
      <c r="H176" s="5">
        <v>0.5</v>
      </c>
      <c r="I176" s="14">
        <f>ROUND(E176*F176*G176*H176,3)</f>
        <v>3.99</v>
      </c>
      <c r="J176" s="16">
        <f>SUM(I175:I176)</f>
        <v>6.758</v>
      </c>
      <c r="K176" s="6"/>
      <c r="L176" s="6"/>
      <c r="N176" s="58" t="s">
        <v>2176</v>
      </c>
    </row>
    <row r="177" spans="1:26" ht="15.4" hidden="1" customHeight="1" x14ac:dyDescent="0.2">
      <c r="A177" s="37" t="s">
        <v>386</v>
      </c>
      <c r="B177" s="34"/>
      <c r="C177" s="46" t="s">
        <v>387</v>
      </c>
      <c r="D177" s="46"/>
      <c r="E177" s="46"/>
      <c r="F177" s="46"/>
      <c r="G177" s="46"/>
      <c r="H177" s="46"/>
      <c r="I177" s="46"/>
      <c r="J177" s="34"/>
      <c r="K177" s="35">
        <v>0</v>
      </c>
      <c r="L177" s="35">
        <f>ROUND(K177,2)</f>
        <v>0</v>
      </c>
      <c r="Z177" s="58" t="s">
        <v>2190</v>
      </c>
    </row>
    <row r="178" spans="1:26" ht="15.4" hidden="1" customHeight="1" x14ac:dyDescent="0.2">
      <c r="A178" s="3" t="s">
        <v>388</v>
      </c>
      <c r="B178" s="2" t="s">
        <v>389</v>
      </c>
      <c r="C178" s="45" t="s">
        <v>390</v>
      </c>
      <c r="D178" s="45"/>
      <c r="E178" s="45"/>
      <c r="F178" s="45"/>
      <c r="G178" s="45"/>
      <c r="H178" s="45"/>
      <c r="I178" s="45"/>
      <c r="J178" s="4">
        <f>SUM(J181:J181)</f>
        <v>1</v>
      </c>
      <c r="K178" s="5">
        <f>ROUND(0*(1+L2/100),2)</f>
        <v>0</v>
      </c>
      <c r="L178" s="5">
        <f>ROUND(J178*K178,2)</f>
        <v>0</v>
      </c>
      <c r="Z178" s="58" t="s">
        <v>2190</v>
      </c>
    </row>
    <row r="179" spans="1:26" ht="53.25" hidden="1" customHeight="1" x14ac:dyDescent="0.2">
      <c r="A179" s="6"/>
      <c r="B179" s="6"/>
      <c r="C179" s="45" t="s">
        <v>391</v>
      </c>
      <c r="D179" s="45"/>
      <c r="E179" s="45"/>
      <c r="F179" s="45"/>
      <c r="G179" s="45"/>
      <c r="H179" s="45"/>
      <c r="I179" s="45"/>
      <c r="J179" s="45"/>
      <c r="K179" s="45"/>
      <c r="L179" s="45"/>
      <c r="Z179" s="58" t="s">
        <v>2190</v>
      </c>
    </row>
    <row r="180" spans="1:26" ht="15.2" hidden="1" customHeight="1" x14ac:dyDescent="0.2">
      <c r="A180" s="6"/>
      <c r="B180" s="6"/>
      <c r="C180" s="6"/>
      <c r="D180" s="7"/>
      <c r="E180" s="9" t="s">
        <v>392</v>
      </c>
      <c r="F180" s="9" t="s">
        <v>393</v>
      </c>
      <c r="G180" s="9" t="s">
        <v>394</v>
      </c>
      <c r="H180" s="9" t="s">
        <v>395</v>
      </c>
      <c r="I180" s="9" t="s">
        <v>396</v>
      </c>
      <c r="J180" s="9" t="s">
        <v>397</v>
      </c>
      <c r="K180" s="6"/>
      <c r="L180" s="6"/>
      <c r="Z180" s="58" t="s">
        <v>2190</v>
      </c>
    </row>
    <row r="181" spans="1:26" ht="22.5" hidden="1" x14ac:dyDescent="0.2">
      <c r="A181" s="6"/>
      <c r="B181" s="6"/>
      <c r="C181" s="10"/>
      <c r="D181" s="11" t="s">
        <v>398</v>
      </c>
      <c r="E181" s="12">
        <v>1</v>
      </c>
      <c r="F181" s="13"/>
      <c r="G181" s="13"/>
      <c r="H181" s="13"/>
      <c r="I181" s="15">
        <f>ROUND(E181,3)</f>
        <v>1</v>
      </c>
      <c r="J181" s="17">
        <f>SUM(I181:I181)</f>
        <v>1</v>
      </c>
      <c r="K181" s="6"/>
      <c r="L181" s="6"/>
      <c r="Z181" s="58" t="s">
        <v>2190</v>
      </c>
    </row>
    <row r="182" spans="1:26" ht="15.4" hidden="1" customHeight="1" x14ac:dyDescent="0.2">
      <c r="A182" s="3" t="s">
        <v>399</v>
      </c>
      <c r="B182" s="2" t="s">
        <v>400</v>
      </c>
      <c r="C182" s="45" t="s">
        <v>401</v>
      </c>
      <c r="D182" s="45"/>
      <c r="E182" s="45"/>
      <c r="F182" s="45"/>
      <c r="G182" s="45"/>
      <c r="H182" s="45"/>
      <c r="I182" s="45"/>
      <c r="J182" s="4">
        <f>SUM(J185:J187)</f>
        <v>9.26</v>
      </c>
      <c r="K182" s="5">
        <f>ROUND(0*(1+L2/100),2)</f>
        <v>0</v>
      </c>
      <c r="L182" s="5">
        <f>ROUND(J182*K182,2)</f>
        <v>0</v>
      </c>
      <c r="Z182" s="58" t="s">
        <v>2190</v>
      </c>
    </row>
    <row r="183" spans="1:26" ht="97.5" hidden="1" customHeight="1" x14ac:dyDescent="0.2">
      <c r="A183" s="6"/>
      <c r="B183" s="6"/>
      <c r="C183" s="45" t="s">
        <v>402</v>
      </c>
      <c r="D183" s="45"/>
      <c r="E183" s="45"/>
      <c r="F183" s="45"/>
      <c r="G183" s="45"/>
      <c r="H183" s="45"/>
      <c r="I183" s="45"/>
      <c r="J183" s="45"/>
      <c r="K183" s="45"/>
      <c r="L183" s="45"/>
      <c r="Z183" s="58" t="s">
        <v>2190</v>
      </c>
    </row>
    <row r="184" spans="1:26" ht="15.2" hidden="1" customHeight="1" x14ac:dyDescent="0.2">
      <c r="A184" s="6"/>
      <c r="B184" s="6"/>
      <c r="C184" s="6"/>
      <c r="D184" s="7"/>
      <c r="E184" s="9" t="s">
        <v>403</v>
      </c>
      <c r="F184" s="9" t="s">
        <v>404</v>
      </c>
      <c r="G184" s="9" t="s">
        <v>405</v>
      </c>
      <c r="H184" s="9" t="s">
        <v>406</v>
      </c>
      <c r="I184" s="9" t="s">
        <v>407</v>
      </c>
      <c r="J184" s="9" t="s">
        <v>408</v>
      </c>
      <c r="K184" s="6"/>
      <c r="L184" s="6"/>
      <c r="Z184" s="58" t="s">
        <v>2190</v>
      </c>
    </row>
    <row r="185" spans="1:26" ht="22.5" hidden="1" x14ac:dyDescent="0.2">
      <c r="A185" s="6"/>
      <c r="B185" s="6"/>
      <c r="C185" s="10"/>
      <c r="D185" s="11" t="s">
        <v>409</v>
      </c>
      <c r="E185" s="12">
        <v>1</v>
      </c>
      <c r="F185" s="13">
        <v>5.5</v>
      </c>
      <c r="G185" s="13"/>
      <c r="H185" s="13"/>
      <c r="I185" s="15">
        <f>ROUND(E185*F185,3)</f>
        <v>5.5</v>
      </c>
      <c r="J185" s="18"/>
      <c r="K185" s="6"/>
      <c r="L185" s="6"/>
      <c r="Z185" s="58" t="s">
        <v>2190</v>
      </c>
    </row>
    <row r="186" spans="1:26" hidden="1" x14ac:dyDescent="0.2">
      <c r="A186" s="6"/>
      <c r="B186" s="6"/>
      <c r="C186" s="10"/>
      <c r="D186" s="2" t="s">
        <v>410</v>
      </c>
      <c r="E186" s="1">
        <v>1</v>
      </c>
      <c r="F186" s="5">
        <v>1.8</v>
      </c>
      <c r="G186" s="5"/>
      <c r="H186" s="5"/>
      <c r="I186" s="14">
        <f>ROUND(E186*F186,3)</f>
        <v>1.8</v>
      </c>
      <c r="J186" s="6"/>
      <c r="K186" s="6"/>
      <c r="L186" s="6"/>
      <c r="Z186" s="58" t="s">
        <v>2190</v>
      </c>
    </row>
    <row r="187" spans="1:26" ht="22.5" hidden="1" x14ac:dyDescent="0.2">
      <c r="A187" s="6"/>
      <c r="B187" s="6"/>
      <c r="C187" s="10"/>
      <c r="D187" s="2" t="s">
        <v>411</v>
      </c>
      <c r="E187" s="1">
        <v>1</v>
      </c>
      <c r="F187" s="5">
        <v>1.96</v>
      </c>
      <c r="G187" s="5"/>
      <c r="H187" s="5"/>
      <c r="I187" s="14">
        <f>ROUND(E187*F187,3)</f>
        <v>1.96</v>
      </c>
      <c r="J187" s="16">
        <f>SUM(I185:I187)</f>
        <v>9.26</v>
      </c>
      <c r="K187" s="6"/>
      <c r="L187" s="6"/>
      <c r="Z187" s="58" t="s">
        <v>2190</v>
      </c>
    </row>
    <row r="188" spans="1:26" ht="15.4" hidden="1" customHeight="1" x14ac:dyDescent="0.2">
      <c r="A188" s="3" t="s">
        <v>412</v>
      </c>
      <c r="B188" s="2" t="s">
        <v>413</v>
      </c>
      <c r="C188" s="45" t="s">
        <v>414</v>
      </c>
      <c r="D188" s="45"/>
      <c r="E188" s="45"/>
      <c r="F188" s="45"/>
      <c r="G188" s="45"/>
      <c r="H188" s="45"/>
      <c r="I188" s="45"/>
      <c r="J188" s="4">
        <f>SUM(J191:J194)</f>
        <v>11.5</v>
      </c>
      <c r="K188" s="5">
        <f>ROUND(0*(1+L2/100),2)</f>
        <v>0</v>
      </c>
      <c r="L188" s="5">
        <f>ROUND(J188*K188,2)</f>
        <v>0</v>
      </c>
      <c r="Z188" s="58" t="s">
        <v>2190</v>
      </c>
    </row>
    <row r="189" spans="1:26" ht="97.5" hidden="1" customHeight="1" x14ac:dyDescent="0.2">
      <c r="A189" s="6"/>
      <c r="B189" s="6"/>
      <c r="C189" s="45" t="s">
        <v>415</v>
      </c>
      <c r="D189" s="45"/>
      <c r="E189" s="45"/>
      <c r="F189" s="45"/>
      <c r="G189" s="45"/>
      <c r="H189" s="45"/>
      <c r="I189" s="45"/>
      <c r="J189" s="45"/>
      <c r="K189" s="45"/>
      <c r="L189" s="45"/>
      <c r="Z189" s="58" t="s">
        <v>2190</v>
      </c>
    </row>
    <row r="190" spans="1:26" hidden="1" x14ac:dyDescent="0.2">
      <c r="A190" s="6"/>
      <c r="B190" s="6"/>
      <c r="C190" s="6"/>
      <c r="D190" s="7"/>
      <c r="E190" s="9" t="s">
        <v>416</v>
      </c>
      <c r="F190" s="9" t="s">
        <v>417</v>
      </c>
      <c r="G190" s="9" t="s">
        <v>418</v>
      </c>
      <c r="H190" s="9" t="s">
        <v>419</v>
      </c>
      <c r="I190" s="9" t="s">
        <v>420</v>
      </c>
      <c r="J190" s="9" t="s">
        <v>421</v>
      </c>
      <c r="K190" s="6"/>
      <c r="L190" s="6"/>
      <c r="Z190" s="58" t="s">
        <v>2190</v>
      </c>
    </row>
    <row r="191" spans="1:26" ht="45" hidden="1" x14ac:dyDescent="0.2">
      <c r="A191" s="6"/>
      <c r="B191" s="6"/>
      <c r="C191" s="10"/>
      <c r="D191" s="11" t="s">
        <v>422</v>
      </c>
      <c r="E191" s="12"/>
      <c r="F191" s="13"/>
      <c r="G191" s="13"/>
      <c r="H191" s="13"/>
      <c r="I191" s="19" t="s">
        <v>423</v>
      </c>
      <c r="J191" s="18"/>
      <c r="K191" s="6"/>
      <c r="L191" s="6"/>
      <c r="Z191" s="58" t="s">
        <v>2190</v>
      </c>
    </row>
    <row r="192" spans="1:26" ht="33.75" hidden="1" x14ac:dyDescent="0.2">
      <c r="A192" s="6"/>
      <c r="B192" s="6"/>
      <c r="C192" s="10"/>
      <c r="D192" s="2" t="s">
        <v>424</v>
      </c>
      <c r="E192" s="1">
        <v>1</v>
      </c>
      <c r="F192" s="5">
        <v>2</v>
      </c>
      <c r="G192" s="5"/>
      <c r="H192" s="5"/>
      <c r="I192" s="14">
        <f>ROUND(E192*F192,3)</f>
        <v>2</v>
      </c>
      <c r="J192" s="6"/>
      <c r="K192" s="6"/>
      <c r="L192" s="6"/>
      <c r="Z192" s="58" t="s">
        <v>2190</v>
      </c>
    </row>
    <row r="193" spans="1:26" ht="22.5" hidden="1" x14ac:dyDescent="0.2">
      <c r="A193" s="6"/>
      <c r="B193" s="6"/>
      <c r="C193" s="10"/>
      <c r="D193" s="2" t="s">
        <v>425</v>
      </c>
      <c r="E193" s="1">
        <v>1</v>
      </c>
      <c r="F193" s="5">
        <v>5.5</v>
      </c>
      <c r="G193" s="5"/>
      <c r="H193" s="5"/>
      <c r="I193" s="14">
        <f>ROUND(E193*F193,3)</f>
        <v>5.5</v>
      </c>
      <c r="J193" s="6"/>
      <c r="K193" s="6"/>
      <c r="L193" s="6"/>
      <c r="Z193" s="58" t="s">
        <v>2190</v>
      </c>
    </row>
    <row r="194" spans="1:26" hidden="1" x14ac:dyDescent="0.2">
      <c r="A194" s="6"/>
      <c r="B194" s="6"/>
      <c r="C194" s="10"/>
      <c r="D194" s="2" t="s">
        <v>426</v>
      </c>
      <c r="E194" s="1">
        <v>1</v>
      </c>
      <c r="F194" s="5">
        <v>4</v>
      </c>
      <c r="G194" s="5"/>
      <c r="H194" s="5"/>
      <c r="I194" s="14">
        <f>ROUND(E194*F194,3)</f>
        <v>4</v>
      </c>
      <c r="J194" s="16">
        <f>SUM(I191:I194)</f>
        <v>11.5</v>
      </c>
      <c r="K194" s="6"/>
      <c r="L194" s="6"/>
      <c r="Z194" s="58" t="s">
        <v>2190</v>
      </c>
    </row>
    <row r="195" spans="1:26" ht="15.4" hidden="1" customHeight="1" x14ac:dyDescent="0.2">
      <c r="A195" s="3" t="s">
        <v>427</v>
      </c>
      <c r="B195" s="2" t="s">
        <v>428</v>
      </c>
      <c r="C195" s="45" t="s">
        <v>429</v>
      </c>
      <c r="D195" s="45"/>
      <c r="E195" s="45"/>
      <c r="F195" s="45"/>
      <c r="G195" s="45"/>
      <c r="H195" s="45"/>
      <c r="I195" s="45"/>
      <c r="J195" s="4">
        <f>ROUND(1,2)</f>
        <v>1</v>
      </c>
      <c r="K195" s="5">
        <f>ROUND(0*(1+L2/100),2)</f>
        <v>0</v>
      </c>
      <c r="L195" s="5">
        <f>ROUND(J195*K195,2)</f>
        <v>0</v>
      </c>
      <c r="Z195" s="58" t="s">
        <v>2190</v>
      </c>
    </row>
    <row r="196" spans="1:26" ht="27" hidden="1" customHeight="1" x14ac:dyDescent="0.2">
      <c r="A196" s="6"/>
      <c r="B196" s="6"/>
      <c r="C196" s="45" t="s">
        <v>430</v>
      </c>
      <c r="D196" s="45"/>
      <c r="E196" s="45"/>
      <c r="F196" s="45"/>
      <c r="G196" s="45"/>
      <c r="H196" s="45"/>
      <c r="I196" s="45"/>
      <c r="J196" s="45"/>
      <c r="K196" s="45"/>
      <c r="L196" s="45"/>
      <c r="Z196" s="58" t="s">
        <v>2190</v>
      </c>
    </row>
    <row r="197" spans="1:26" ht="15.4" hidden="1" customHeight="1" x14ac:dyDescent="0.2">
      <c r="A197" s="3" t="s">
        <v>431</v>
      </c>
      <c r="B197" s="2" t="s">
        <v>432</v>
      </c>
      <c r="C197" s="45" t="s">
        <v>433</v>
      </c>
      <c r="D197" s="45"/>
      <c r="E197" s="45"/>
      <c r="F197" s="45"/>
      <c r="G197" s="45"/>
      <c r="H197" s="45"/>
      <c r="I197" s="45"/>
      <c r="J197" s="4">
        <f>ROUND(1,2)</f>
        <v>1</v>
      </c>
      <c r="K197" s="5">
        <f>ROUND(0*(1+L2/100),2)</f>
        <v>0</v>
      </c>
      <c r="L197" s="5">
        <f>ROUND(J197*K197,2)</f>
        <v>0</v>
      </c>
      <c r="Z197" s="58" t="s">
        <v>2190</v>
      </c>
    </row>
    <row r="198" spans="1:26" ht="41.25" hidden="1" customHeight="1" x14ac:dyDescent="0.2">
      <c r="A198" s="6"/>
      <c r="B198" s="6"/>
      <c r="C198" s="45" t="s">
        <v>434</v>
      </c>
      <c r="D198" s="45"/>
      <c r="E198" s="45"/>
      <c r="F198" s="45"/>
      <c r="G198" s="45"/>
      <c r="H198" s="45"/>
      <c r="I198" s="45"/>
      <c r="J198" s="45"/>
      <c r="K198" s="45"/>
      <c r="L198" s="45"/>
      <c r="Z198" s="58" t="s">
        <v>2190</v>
      </c>
    </row>
    <row r="199" spans="1:26" ht="15.4" hidden="1" customHeight="1" x14ac:dyDescent="0.2">
      <c r="A199" s="3" t="s">
        <v>435</v>
      </c>
      <c r="B199" s="2" t="s">
        <v>436</v>
      </c>
      <c r="C199" s="45" t="s">
        <v>437</v>
      </c>
      <c r="D199" s="45"/>
      <c r="E199" s="45"/>
      <c r="F199" s="45"/>
      <c r="G199" s="45"/>
      <c r="H199" s="45"/>
      <c r="I199" s="45"/>
      <c r="J199" s="4">
        <f>ROUND(1,2)</f>
        <v>1</v>
      </c>
      <c r="K199" s="5">
        <f>ROUND(0*(1+L2/100),2)</f>
        <v>0</v>
      </c>
      <c r="L199" s="5">
        <f>ROUND(J199*K199,2)</f>
        <v>0</v>
      </c>
      <c r="Z199" s="58" t="s">
        <v>2190</v>
      </c>
    </row>
    <row r="200" spans="1:26" ht="141" hidden="1" customHeight="1" x14ac:dyDescent="0.2">
      <c r="A200" s="6"/>
      <c r="B200" s="6"/>
      <c r="C200" s="45" t="s">
        <v>438</v>
      </c>
      <c r="D200" s="45"/>
      <c r="E200" s="45"/>
      <c r="F200" s="45"/>
      <c r="G200" s="45"/>
      <c r="H200" s="45"/>
      <c r="I200" s="45"/>
      <c r="J200" s="45"/>
      <c r="K200" s="45"/>
      <c r="L200" s="45"/>
      <c r="Z200" s="58" t="s">
        <v>2190</v>
      </c>
    </row>
    <row r="201" spans="1:26" ht="15.4" hidden="1" customHeight="1" x14ac:dyDescent="0.2">
      <c r="A201" s="3" t="s">
        <v>439</v>
      </c>
      <c r="B201" s="2" t="s">
        <v>440</v>
      </c>
      <c r="C201" s="45" t="s">
        <v>441</v>
      </c>
      <c r="D201" s="45"/>
      <c r="E201" s="45"/>
      <c r="F201" s="45"/>
      <c r="G201" s="45"/>
      <c r="H201" s="45"/>
      <c r="I201" s="45"/>
      <c r="J201" s="4">
        <f>ROUND(1,2)</f>
        <v>1</v>
      </c>
      <c r="K201" s="5">
        <f>ROUND(0*(1+L2/100),2)</f>
        <v>0</v>
      </c>
      <c r="L201" s="5">
        <f>ROUND(J201*K201,2)</f>
        <v>0</v>
      </c>
      <c r="Z201" s="58" t="s">
        <v>2190</v>
      </c>
    </row>
    <row r="202" spans="1:26" ht="28.5" hidden="1" customHeight="1" x14ac:dyDescent="0.2">
      <c r="A202" s="6"/>
      <c r="B202" s="6"/>
      <c r="C202" s="45" t="s">
        <v>442</v>
      </c>
      <c r="D202" s="45"/>
      <c r="E202" s="45"/>
      <c r="F202" s="45"/>
      <c r="G202" s="45"/>
      <c r="H202" s="45"/>
      <c r="I202" s="45"/>
      <c r="J202" s="45"/>
      <c r="K202" s="45"/>
      <c r="L202" s="45"/>
      <c r="Z202" s="58" t="s">
        <v>2190</v>
      </c>
    </row>
    <row r="203" spans="1:26" ht="15.4" hidden="1" customHeight="1" x14ac:dyDescent="0.2">
      <c r="A203" s="31" t="s">
        <v>443</v>
      </c>
      <c r="B203" s="28"/>
      <c r="C203" s="44" t="s">
        <v>444</v>
      </c>
      <c r="D203" s="44"/>
      <c r="E203" s="44"/>
      <c r="F203" s="44"/>
      <c r="G203" s="44"/>
      <c r="H203" s="44"/>
      <c r="I203" s="44"/>
      <c r="J203" s="28"/>
      <c r="K203" s="29">
        <v>0</v>
      </c>
      <c r="L203" s="29">
        <f>ROUND(K203,2)</f>
        <v>0</v>
      </c>
      <c r="O203" s="58" t="s">
        <v>2179</v>
      </c>
      <c r="P203" s="58" t="s">
        <v>2180</v>
      </c>
      <c r="Q203" s="58" t="s">
        <v>2181</v>
      </c>
    </row>
    <row r="204" spans="1:26" ht="15.4" hidden="1" customHeight="1" x14ac:dyDescent="0.2">
      <c r="A204" s="36" t="s">
        <v>445</v>
      </c>
      <c r="B204" s="32"/>
      <c r="C204" s="47" t="s">
        <v>446</v>
      </c>
      <c r="D204" s="47"/>
      <c r="E204" s="47"/>
      <c r="F204" s="47"/>
      <c r="G204" s="47"/>
      <c r="H204" s="47"/>
      <c r="I204" s="47"/>
      <c r="J204" s="32"/>
      <c r="K204" s="33">
        <v>0</v>
      </c>
      <c r="L204" s="33">
        <f>ROUND(K204,2)</f>
        <v>0</v>
      </c>
      <c r="O204" s="58" t="s">
        <v>2179</v>
      </c>
      <c r="P204" s="58" t="s">
        <v>2180</v>
      </c>
      <c r="Q204" s="58" t="s">
        <v>2181</v>
      </c>
    </row>
    <row r="205" spans="1:26" ht="15.4" hidden="1" customHeight="1" x14ac:dyDescent="0.2">
      <c r="A205" s="3" t="s">
        <v>447</v>
      </c>
      <c r="B205" s="2" t="s">
        <v>448</v>
      </c>
      <c r="C205" s="45" t="s">
        <v>449</v>
      </c>
      <c r="D205" s="45"/>
      <c r="E205" s="45"/>
      <c r="F205" s="45"/>
      <c r="G205" s="45"/>
      <c r="H205" s="45"/>
      <c r="I205" s="45"/>
      <c r="J205" s="4">
        <f>SUM(J208:J208)</f>
        <v>3.85</v>
      </c>
      <c r="K205" s="5">
        <f>ROUND(0*(1+L2/100),2)</f>
        <v>0</v>
      </c>
      <c r="L205" s="5">
        <f>ROUND(J205*K205,2)</f>
        <v>0</v>
      </c>
      <c r="O205" s="58" t="s">
        <v>2179</v>
      </c>
      <c r="Q205" s="58" t="s">
        <v>2181</v>
      </c>
    </row>
    <row r="206" spans="1:26" ht="29.25" hidden="1" customHeight="1" x14ac:dyDescent="0.2">
      <c r="A206" s="6"/>
      <c r="B206" s="6"/>
      <c r="C206" s="45" t="s">
        <v>450</v>
      </c>
      <c r="D206" s="45"/>
      <c r="E206" s="45"/>
      <c r="F206" s="45"/>
      <c r="G206" s="45"/>
      <c r="H206" s="45"/>
      <c r="I206" s="45"/>
      <c r="J206" s="45"/>
      <c r="K206" s="45"/>
      <c r="L206" s="45"/>
      <c r="O206" s="58" t="s">
        <v>2179</v>
      </c>
      <c r="Q206" s="58" t="s">
        <v>2181</v>
      </c>
    </row>
    <row r="207" spans="1:26" ht="15.2" hidden="1" customHeight="1" x14ac:dyDescent="0.2">
      <c r="A207" s="6"/>
      <c r="B207" s="6"/>
      <c r="C207" s="6"/>
      <c r="D207" s="7"/>
      <c r="E207" s="9" t="s">
        <v>451</v>
      </c>
      <c r="F207" s="9" t="s">
        <v>452</v>
      </c>
      <c r="G207" s="9" t="s">
        <v>453</v>
      </c>
      <c r="H207" s="9" t="s">
        <v>454</v>
      </c>
      <c r="I207" s="9" t="s">
        <v>455</v>
      </c>
      <c r="J207" s="9" t="s">
        <v>456</v>
      </c>
      <c r="K207" s="6"/>
      <c r="L207" s="6"/>
      <c r="O207" s="58" t="s">
        <v>2179</v>
      </c>
      <c r="Q207" s="58" t="s">
        <v>2181</v>
      </c>
    </row>
    <row r="208" spans="1:26" ht="21.4" hidden="1" customHeight="1" x14ac:dyDescent="0.2">
      <c r="A208" s="6"/>
      <c r="B208" s="6"/>
      <c r="C208" s="10"/>
      <c r="D208" s="11" t="s">
        <v>457</v>
      </c>
      <c r="E208" s="12">
        <v>3.85</v>
      </c>
      <c r="F208" s="13"/>
      <c r="G208" s="13"/>
      <c r="H208" s="13"/>
      <c r="I208" s="15">
        <f>ROUND(E208,3)</f>
        <v>3.85</v>
      </c>
      <c r="J208" s="17">
        <f>SUM(I208:I208)</f>
        <v>3.85</v>
      </c>
      <c r="K208" s="6"/>
      <c r="L208" s="6"/>
      <c r="O208" s="58" t="s">
        <v>2179</v>
      </c>
      <c r="Q208" s="58" t="s">
        <v>2181</v>
      </c>
    </row>
    <row r="209" spans="1:17" ht="15.4" hidden="1" customHeight="1" x14ac:dyDescent="0.2">
      <c r="A209" s="3" t="s">
        <v>458</v>
      </c>
      <c r="B209" s="2" t="s">
        <v>459</v>
      </c>
      <c r="C209" s="45" t="s">
        <v>460</v>
      </c>
      <c r="D209" s="45"/>
      <c r="E209" s="45"/>
      <c r="F209" s="45"/>
      <c r="G209" s="45"/>
      <c r="H209" s="45"/>
      <c r="I209" s="45"/>
      <c r="J209" s="4">
        <f>SUM(J212:J212)</f>
        <v>0.94</v>
      </c>
      <c r="K209" s="5">
        <f>ROUND(0*(1+L2/100),2)</f>
        <v>0</v>
      </c>
      <c r="L209" s="5">
        <f>ROUND(J209*K209,2)</f>
        <v>0</v>
      </c>
      <c r="O209" s="58" t="s">
        <v>2179</v>
      </c>
      <c r="Q209" s="58" t="s">
        <v>2181</v>
      </c>
    </row>
    <row r="210" spans="1:17" ht="27" hidden="1" customHeight="1" x14ac:dyDescent="0.2">
      <c r="A210" s="6"/>
      <c r="B210" s="6"/>
      <c r="C210" s="45" t="s">
        <v>461</v>
      </c>
      <c r="D210" s="45"/>
      <c r="E210" s="45"/>
      <c r="F210" s="45"/>
      <c r="G210" s="45"/>
      <c r="H210" s="45"/>
      <c r="I210" s="45"/>
      <c r="J210" s="45"/>
      <c r="K210" s="45"/>
      <c r="L210" s="45"/>
      <c r="O210" s="58" t="s">
        <v>2179</v>
      </c>
      <c r="Q210" s="58" t="s">
        <v>2181</v>
      </c>
    </row>
    <row r="211" spans="1:17" ht="15.2" hidden="1" customHeight="1" x14ac:dyDescent="0.2">
      <c r="A211" s="6"/>
      <c r="B211" s="6"/>
      <c r="C211" s="6"/>
      <c r="D211" s="7"/>
      <c r="E211" s="9" t="s">
        <v>462</v>
      </c>
      <c r="F211" s="9" t="s">
        <v>463</v>
      </c>
      <c r="G211" s="9" t="s">
        <v>464</v>
      </c>
      <c r="H211" s="9" t="s">
        <v>465</v>
      </c>
      <c r="I211" s="9" t="s">
        <v>466</v>
      </c>
      <c r="J211" s="9" t="s">
        <v>467</v>
      </c>
      <c r="K211" s="6"/>
      <c r="L211" s="6"/>
      <c r="O211" s="58" t="s">
        <v>2179</v>
      </c>
      <c r="Q211" s="58" t="s">
        <v>2181</v>
      </c>
    </row>
    <row r="212" spans="1:17" ht="21.4" hidden="1" customHeight="1" x14ac:dyDescent="0.2">
      <c r="A212" s="6"/>
      <c r="B212" s="6"/>
      <c r="C212" s="10"/>
      <c r="D212" s="11" t="s">
        <v>468</v>
      </c>
      <c r="E212" s="12">
        <v>0.94</v>
      </c>
      <c r="F212" s="13"/>
      <c r="G212" s="13"/>
      <c r="H212" s="13"/>
      <c r="I212" s="15">
        <f>ROUND(E212,3)</f>
        <v>0.94</v>
      </c>
      <c r="J212" s="17">
        <f>SUM(I212:I212)</f>
        <v>0.94</v>
      </c>
      <c r="K212" s="6"/>
      <c r="L212" s="6"/>
      <c r="O212" s="58" t="s">
        <v>2179</v>
      </c>
      <c r="Q212" s="58" t="s">
        <v>2181</v>
      </c>
    </row>
    <row r="213" spans="1:17" ht="15.4" hidden="1" customHeight="1" x14ac:dyDescent="0.2">
      <c r="A213" s="3" t="s">
        <v>469</v>
      </c>
      <c r="B213" s="2" t="s">
        <v>470</v>
      </c>
      <c r="C213" s="45" t="s">
        <v>471</v>
      </c>
      <c r="D213" s="45"/>
      <c r="E213" s="45"/>
      <c r="F213" s="45"/>
      <c r="G213" s="45"/>
      <c r="H213" s="45"/>
      <c r="I213" s="45"/>
      <c r="J213" s="4">
        <f>SUM(J216:J216)</f>
        <v>23.93</v>
      </c>
      <c r="K213" s="5">
        <f>ROUND(0*(1+L2/100),2)</f>
        <v>0</v>
      </c>
      <c r="L213" s="5">
        <f>ROUND(J213*K213,2)</f>
        <v>0</v>
      </c>
      <c r="O213" s="58" t="s">
        <v>2179</v>
      </c>
    </row>
    <row r="214" spans="1:17" ht="37.5" hidden="1" customHeight="1" x14ac:dyDescent="0.2">
      <c r="A214" s="6"/>
      <c r="B214" s="6"/>
      <c r="C214" s="45" t="s">
        <v>472</v>
      </c>
      <c r="D214" s="45"/>
      <c r="E214" s="45"/>
      <c r="F214" s="45"/>
      <c r="G214" s="45"/>
      <c r="H214" s="45"/>
      <c r="I214" s="45"/>
      <c r="J214" s="45"/>
      <c r="K214" s="45"/>
      <c r="L214" s="45"/>
      <c r="O214" s="58" t="s">
        <v>2179</v>
      </c>
    </row>
    <row r="215" spans="1:17" ht="15.2" hidden="1" customHeight="1" x14ac:dyDescent="0.2">
      <c r="A215" s="6"/>
      <c r="B215" s="6"/>
      <c r="C215" s="6"/>
      <c r="D215" s="7"/>
      <c r="E215" s="9" t="s">
        <v>473</v>
      </c>
      <c r="F215" s="9" t="s">
        <v>474</v>
      </c>
      <c r="G215" s="9" t="s">
        <v>475</v>
      </c>
      <c r="H215" s="9" t="s">
        <v>476</v>
      </c>
      <c r="I215" s="9" t="s">
        <v>477</v>
      </c>
      <c r="J215" s="9" t="s">
        <v>478</v>
      </c>
      <c r="K215" s="6"/>
      <c r="L215" s="6"/>
      <c r="O215" s="58" t="s">
        <v>2179</v>
      </c>
    </row>
    <row r="216" spans="1:17" ht="15.2" hidden="1" customHeight="1" x14ac:dyDescent="0.2">
      <c r="A216" s="6"/>
      <c r="B216" s="6"/>
      <c r="C216" s="10"/>
      <c r="D216" s="11" t="s">
        <v>479</v>
      </c>
      <c r="E216" s="12">
        <v>23.93</v>
      </c>
      <c r="F216" s="13"/>
      <c r="G216" s="13"/>
      <c r="H216" s="13"/>
      <c r="I216" s="15">
        <f>ROUND(E216,3)</f>
        <v>23.93</v>
      </c>
      <c r="J216" s="17">
        <f>SUM(I216:I216)</f>
        <v>23.93</v>
      </c>
      <c r="K216" s="6"/>
      <c r="L216" s="6"/>
      <c r="O216" s="58" t="s">
        <v>2179</v>
      </c>
    </row>
    <row r="217" spans="1:17" ht="15.4" hidden="1" customHeight="1" x14ac:dyDescent="0.2">
      <c r="A217" s="3" t="s">
        <v>480</v>
      </c>
      <c r="B217" s="2" t="s">
        <v>481</v>
      </c>
      <c r="C217" s="45" t="s">
        <v>482</v>
      </c>
      <c r="D217" s="45"/>
      <c r="E217" s="45"/>
      <c r="F217" s="45"/>
      <c r="G217" s="45"/>
      <c r="H217" s="45"/>
      <c r="I217" s="45"/>
      <c r="J217" s="4">
        <f>SUM(J220:J220)</f>
        <v>3.32</v>
      </c>
      <c r="K217" s="5">
        <f>ROUND(0*(1+L2/100),2)</f>
        <v>0</v>
      </c>
      <c r="L217" s="5">
        <f>ROUND(J217*K217,2)</f>
        <v>0</v>
      </c>
      <c r="O217" s="58" t="s">
        <v>2179</v>
      </c>
      <c r="Q217" s="58" t="s">
        <v>2181</v>
      </c>
    </row>
    <row r="218" spans="1:17" ht="39.75" hidden="1" customHeight="1" x14ac:dyDescent="0.2">
      <c r="A218" s="6"/>
      <c r="B218" s="6"/>
      <c r="C218" s="45" t="s">
        <v>483</v>
      </c>
      <c r="D218" s="45"/>
      <c r="E218" s="45"/>
      <c r="F218" s="45"/>
      <c r="G218" s="45"/>
      <c r="H218" s="45"/>
      <c r="I218" s="45"/>
      <c r="J218" s="45"/>
      <c r="K218" s="45"/>
      <c r="L218" s="45"/>
      <c r="O218" s="58" t="s">
        <v>2179</v>
      </c>
      <c r="Q218" s="58" t="s">
        <v>2181</v>
      </c>
    </row>
    <row r="219" spans="1:17" ht="15.2" hidden="1" customHeight="1" x14ac:dyDescent="0.2">
      <c r="A219" s="6"/>
      <c r="B219" s="6"/>
      <c r="C219" s="6"/>
      <c r="D219" s="7"/>
      <c r="E219" s="9" t="s">
        <v>484</v>
      </c>
      <c r="F219" s="9" t="s">
        <v>485</v>
      </c>
      <c r="G219" s="9" t="s">
        <v>486</v>
      </c>
      <c r="H219" s="9" t="s">
        <v>487</v>
      </c>
      <c r="I219" s="9" t="s">
        <v>488</v>
      </c>
      <c r="J219" s="9" t="s">
        <v>489</v>
      </c>
      <c r="K219" s="6"/>
      <c r="L219" s="6"/>
      <c r="O219" s="58" t="s">
        <v>2179</v>
      </c>
      <c r="Q219" s="58" t="s">
        <v>2181</v>
      </c>
    </row>
    <row r="220" spans="1:17" ht="15.2" hidden="1" customHeight="1" x14ac:dyDescent="0.2">
      <c r="A220" s="6"/>
      <c r="B220" s="6"/>
      <c r="C220" s="10"/>
      <c r="D220" s="11" t="s">
        <v>490</v>
      </c>
      <c r="E220" s="12">
        <v>3.32</v>
      </c>
      <c r="F220" s="13"/>
      <c r="G220" s="13"/>
      <c r="H220" s="13"/>
      <c r="I220" s="15">
        <f>ROUND(E220,3)</f>
        <v>3.32</v>
      </c>
      <c r="J220" s="17">
        <f>SUM(I220:I220)</f>
        <v>3.32</v>
      </c>
      <c r="K220" s="6"/>
      <c r="L220" s="6"/>
      <c r="O220" s="58" t="s">
        <v>2179</v>
      </c>
      <c r="Q220" s="58" t="s">
        <v>2181</v>
      </c>
    </row>
    <row r="221" spans="1:17" ht="15.4" hidden="1" customHeight="1" x14ac:dyDescent="0.2">
      <c r="A221" s="3" t="s">
        <v>491</v>
      </c>
      <c r="B221" s="2" t="s">
        <v>492</v>
      </c>
      <c r="C221" s="45" t="s">
        <v>493</v>
      </c>
      <c r="D221" s="45"/>
      <c r="E221" s="45"/>
      <c r="F221" s="45"/>
      <c r="G221" s="45"/>
      <c r="H221" s="45"/>
      <c r="I221" s="45"/>
      <c r="J221" s="4">
        <f>SUM(J224:J224)</f>
        <v>9.59</v>
      </c>
      <c r="K221" s="5">
        <f>ROUND(0*(1+L2/100),2)</f>
        <v>0</v>
      </c>
      <c r="L221" s="5">
        <f>ROUND(J221*K221,2)</f>
        <v>0</v>
      </c>
      <c r="O221" s="58" t="s">
        <v>2179</v>
      </c>
    </row>
    <row r="222" spans="1:17" ht="73.5" hidden="1" customHeight="1" x14ac:dyDescent="0.2">
      <c r="A222" s="6"/>
      <c r="B222" s="6"/>
      <c r="C222" s="45" t="s">
        <v>494</v>
      </c>
      <c r="D222" s="45"/>
      <c r="E222" s="45"/>
      <c r="F222" s="45"/>
      <c r="G222" s="45"/>
      <c r="H222" s="45"/>
      <c r="I222" s="45"/>
      <c r="J222" s="45"/>
      <c r="K222" s="45"/>
      <c r="L222" s="45"/>
      <c r="O222" s="58" t="s">
        <v>2179</v>
      </c>
    </row>
    <row r="223" spans="1:17" ht="15.2" hidden="1" customHeight="1" x14ac:dyDescent="0.2">
      <c r="A223" s="6"/>
      <c r="B223" s="6"/>
      <c r="C223" s="6"/>
      <c r="D223" s="7"/>
      <c r="E223" s="9" t="s">
        <v>495</v>
      </c>
      <c r="F223" s="9" t="s">
        <v>496</v>
      </c>
      <c r="G223" s="9" t="s">
        <v>497</v>
      </c>
      <c r="H223" s="9" t="s">
        <v>498</v>
      </c>
      <c r="I223" s="9" t="s">
        <v>499</v>
      </c>
      <c r="J223" s="9" t="s">
        <v>500</v>
      </c>
      <c r="K223" s="6"/>
      <c r="L223" s="6"/>
      <c r="O223" s="58" t="s">
        <v>2179</v>
      </c>
    </row>
    <row r="224" spans="1:17" ht="15.2" hidden="1" customHeight="1" x14ac:dyDescent="0.2">
      <c r="A224" s="6"/>
      <c r="B224" s="6"/>
      <c r="C224" s="10"/>
      <c r="D224" s="11" t="s">
        <v>501</v>
      </c>
      <c r="E224" s="12">
        <v>9.59</v>
      </c>
      <c r="F224" s="13"/>
      <c r="G224" s="13"/>
      <c r="H224" s="13"/>
      <c r="I224" s="15">
        <f>ROUND(E224,3)</f>
        <v>9.59</v>
      </c>
      <c r="J224" s="17">
        <f>SUM(I224:I224)</f>
        <v>9.59</v>
      </c>
      <c r="K224" s="6"/>
      <c r="L224" s="6"/>
      <c r="O224" s="58" t="s">
        <v>2179</v>
      </c>
    </row>
    <row r="225" spans="1:18" ht="15.4" hidden="1" customHeight="1" x14ac:dyDescent="0.2">
      <c r="A225" s="3" t="s">
        <v>502</v>
      </c>
      <c r="B225" s="2" t="s">
        <v>503</v>
      </c>
      <c r="C225" s="45" t="s">
        <v>504</v>
      </c>
      <c r="D225" s="45"/>
      <c r="E225" s="45"/>
      <c r="F225" s="45"/>
      <c r="G225" s="45"/>
      <c r="H225" s="45"/>
      <c r="I225" s="45"/>
      <c r="J225" s="4">
        <f>SUM(J228:J228)</f>
        <v>7</v>
      </c>
      <c r="K225" s="5">
        <f>ROUND(0*(1+L2/100),2)</f>
        <v>0</v>
      </c>
      <c r="L225" s="5">
        <f>ROUND(J225*K225,2)</f>
        <v>0</v>
      </c>
      <c r="P225" s="58" t="s">
        <v>2180</v>
      </c>
    </row>
    <row r="226" spans="1:18" ht="37.5" hidden="1" customHeight="1" x14ac:dyDescent="0.2">
      <c r="A226" s="6"/>
      <c r="B226" s="6"/>
      <c r="C226" s="45" t="s">
        <v>505</v>
      </c>
      <c r="D226" s="45"/>
      <c r="E226" s="45"/>
      <c r="F226" s="45"/>
      <c r="G226" s="45"/>
      <c r="H226" s="45"/>
      <c r="I226" s="45"/>
      <c r="J226" s="45"/>
      <c r="K226" s="45"/>
      <c r="L226" s="45"/>
      <c r="P226" s="58" t="s">
        <v>2180</v>
      </c>
    </row>
    <row r="227" spans="1:18" ht="15.2" hidden="1" customHeight="1" x14ac:dyDescent="0.2">
      <c r="A227" s="6"/>
      <c r="B227" s="6"/>
      <c r="C227" s="6"/>
      <c r="D227" s="7"/>
      <c r="E227" s="9" t="s">
        <v>506</v>
      </c>
      <c r="F227" s="9" t="s">
        <v>507</v>
      </c>
      <c r="G227" s="9" t="s">
        <v>508</v>
      </c>
      <c r="H227" s="9" t="s">
        <v>509</v>
      </c>
      <c r="I227" s="9" t="s">
        <v>510</v>
      </c>
      <c r="J227" s="9" t="s">
        <v>511</v>
      </c>
      <c r="K227" s="6"/>
      <c r="L227" s="6"/>
      <c r="P227" s="58" t="s">
        <v>2180</v>
      </c>
    </row>
    <row r="228" spans="1:18" ht="33.75" hidden="1" x14ac:dyDescent="0.2">
      <c r="A228" s="6"/>
      <c r="B228" s="6"/>
      <c r="C228" s="10"/>
      <c r="D228" s="11" t="s">
        <v>512</v>
      </c>
      <c r="E228" s="12">
        <v>7</v>
      </c>
      <c r="F228" s="13"/>
      <c r="G228" s="13"/>
      <c r="H228" s="13"/>
      <c r="I228" s="15">
        <f>ROUND(E228,3)</f>
        <v>7</v>
      </c>
      <c r="J228" s="17">
        <f>SUM(I228:I228)</f>
        <v>7</v>
      </c>
      <c r="K228" s="6"/>
      <c r="L228" s="6"/>
      <c r="P228" s="58" t="s">
        <v>2180</v>
      </c>
    </row>
    <row r="229" spans="1:18" ht="15.4" hidden="1" customHeight="1" x14ac:dyDescent="0.2">
      <c r="A229" s="3" t="s">
        <v>513</v>
      </c>
      <c r="B229" s="2" t="s">
        <v>514</v>
      </c>
      <c r="C229" s="45" t="s">
        <v>515</v>
      </c>
      <c r="D229" s="45"/>
      <c r="E229" s="45"/>
      <c r="F229" s="45"/>
      <c r="G229" s="45"/>
      <c r="H229" s="45"/>
      <c r="I229" s="45"/>
      <c r="J229" s="4">
        <f>SUM(J232:J232)</f>
        <v>2.2919999999999998</v>
      </c>
      <c r="K229" s="5">
        <f>ROUND(0*(1+L2/100),2)</f>
        <v>0</v>
      </c>
      <c r="L229" s="5">
        <f>ROUND(J229*K229,2)</f>
        <v>0</v>
      </c>
      <c r="O229" s="58" t="s">
        <v>2179</v>
      </c>
    </row>
    <row r="230" spans="1:18" ht="24" hidden="1" customHeight="1" x14ac:dyDescent="0.2">
      <c r="A230" s="6"/>
      <c r="B230" s="6"/>
      <c r="C230" s="45" t="s">
        <v>516</v>
      </c>
      <c r="D230" s="45"/>
      <c r="E230" s="45"/>
      <c r="F230" s="45"/>
      <c r="G230" s="45"/>
      <c r="H230" s="45"/>
      <c r="I230" s="45"/>
      <c r="J230" s="45"/>
      <c r="K230" s="45"/>
      <c r="L230" s="45"/>
      <c r="O230" s="58" t="s">
        <v>2179</v>
      </c>
    </row>
    <row r="231" spans="1:18" ht="15.2" hidden="1" customHeight="1" x14ac:dyDescent="0.2">
      <c r="A231" s="6"/>
      <c r="B231" s="6"/>
      <c r="C231" s="6"/>
      <c r="D231" s="7"/>
      <c r="E231" s="9" t="s">
        <v>517</v>
      </c>
      <c r="F231" s="9" t="s">
        <v>518</v>
      </c>
      <c r="G231" s="9" t="s">
        <v>519</v>
      </c>
      <c r="H231" s="9" t="s">
        <v>520</v>
      </c>
      <c r="I231" s="9" t="s">
        <v>521</v>
      </c>
      <c r="J231" s="9" t="s">
        <v>522</v>
      </c>
      <c r="K231" s="6"/>
      <c r="L231" s="6"/>
      <c r="O231" s="58" t="s">
        <v>2179</v>
      </c>
    </row>
    <row r="232" spans="1:18" ht="22.5" hidden="1" x14ac:dyDescent="0.2">
      <c r="A232" s="6"/>
      <c r="B232" s="6"/>
      <c r="C232" s="10"/>
      <c r="D232" s="11" t="s">
        <v>523</v>
      </c>
      <c r="E232" s="12">
        <v>1</v>
      </c>
      <c r="F232" s="13">
        <v>22.92</v>
      </c>
      <c r="G232" s="13"/>
      <c r="H232" s="13">
        <v>0.1</v>
      </c>
      <c r="I232" s="15">
        <f>ROUND(E232*F232*H232,3)</f>
        <v>2.2919999999999998</v>
      </c>
      <c r="J232" s="17">
        <f>SUM(I232:I232)</f>
        <v>2.2919999999999998</v>
      </c>
      <c r="K232" s="6"/>
      <c r="L232" s="6"/>
      <c r="O232" s="58" t="s">
        <v>2179</v>
      </c>
    </row>
    <row r="233" spans="1:18" ht="15.4" hidden="1" customHeight="1" x14ac:dyDescent="0.2">
      <c r="A233" s="37" t="s">
        <v>524</v>
      </c>
      <c r="B233" s="34"/>
      <c r="C233" s="46" t="s">
        <v>525</v>
      </c>
      <c r="D233" s="46"/>
      <c r="E233" s="46"/>
      <c r="F233" s="46"/>
      <c r="G233" s="46"/>
      <c r="H233" s="46"/>
      <c r="I233" s="46"/>
      <c r="J233" s="34"/>
      <c r="K233" s="35">
        <v>0</v>
      </c>
      <c r="L233" s="35">
        <f>ROUND(K233,2)</f>
        <v>0</v>
      </c>
      <c r="O233" s="58" t="s">
        <v>2179</v>
      </c>
      <c r="R233" s="58" t="s">
        <v>2182</v>
      </c>
    </row>
    <row r="234" spans="1:18" ht="15.4" hidden="1" customHeight="1" x14ac:dyDescent="0.2">
      <c r="A234" s="3" t="s">
        <v>526</v>
      </c>
      <c r="B234" s="2" t="s">
        <v>527</v>
      </c>
      <c r="C234" s="45" t="s">
        <v>528</v>
      </c>
      <c r="D234" s="45"/>
      <c r="E234" s="45"/>
      <c r="F234" s="45"/>
      <c r="G234" s="45"/>
      <c r="H234" s="45"/>
      <c r="I234" s="45"/>
      <c r="J234" s="4">
        <f>SUM(J237:J239)</f>
        <v>36.323</v>
      </c>
      <c r="K234" s="5">
        <f>ROUND(0*(1+L2/100),2)</f>
        <v>0</v>
      </c>
      <c r="L234" s="5">
        <f>ROUND(J234*K234,2)</f>
        <v>0</v>
      </c>
      <c r="O234" s="58" t="s">
        <v>2179</v>
      </c>
      <c r="R234" s="58" t="s">
        <v>2182</v>
      </c>
    </row>
    <row r="235" spans="1:18" ht="62.25" hidden="1" customHeight="1" x14ac:dyDescent="0.2">
      <c r="A235" s="6"/>
      <c r="B235" s="6"/>
      <c r="C235" s="45" t="s">
        <v>529</v>
      </c>
      <c r="D235" s="45"/>
      <c r="E235" s="45"/>
      <c r="F235" s="45"/>
      <c r="G235" s="45"/>
      <c r="H235" s="45"/>
      <c r="I235" s="45"/>
      <c r="J235" s="45"/>
      <c r="K235" s="45"/>
      <c r="L235" s="45"/>
      <c r="O235" s="58" t="s">
        <v>2179</v>
      </c>
      <c r="R235" s="58" t="s">
        <v>2182</v>
      </c>
    </row>
    <row r="236" spans="1:18" ht="15.2" hidden="1" customHeight="1" x14ac:dyDescent="0.2">
      <c r="A236" s="6"/>
      <c r="B236" s="6"/>
      <c r="C236" s="6"/>
      <c r="D236" s="7"/>
      <c r="E236" s="9" t="s">
        <v>530</v>
      </c>
      <c r="F236" s="9" t="s">
        <v>531</v>
      </c>
      <c r="G236" s="9" t="s">
        <v>532</v>
      </c>
      <c r="H236" s="9" t="s">
        <v>533</v>
      </c>
      <c r="I236" s="9" t="s">
        <v>534</v>
      </c>
      <c r="J236" s="9" t="s">
        <v>535</v>
      </c>
      <c r="K236" s="6"/>
      <c r="L236" s="6"/>
      <c r="O236" s="58" t="s">
        <v>2179</v>
      </c>
      <c r="R236" s="58" t="s">
        <v>2182</v>
      </c>
    </row>
    <row r="237" spans="1:18" ht="22.5" hidden="1" x14ac:dyDescent="0.2">
      <c r="A237" s="6"/>
      <c r="B237" s="6"/>
      <c r="C237" s="10"/>
      <c r="D237" s="11" t="s">
        <v>536</v>
      </c>
      <c r="E237" s="12">
        <v>1</v>
      </c>
      <c r="F237" s="13">
        <v>3.62</v>
      </c>
      <c r="G237" s="13"/>
      <c r="H237" s="13"/>
      <c r="I237" s="15">
        <f>ROUND(E237*F237,3)</f>
        <v>3.62</v>
      </c>
      <c r="J237" s="18"/>
      <c r="K237" s="6"/>
      <c r="L237" s="6"/>
      <c r="O237" s="58" t="s">
        <v>2179</v>
      </c>
      <c r="R237" s="58" t="s">
        <v>2182</v>
      </c>
    </row>
    <row r="238" spans="1:18" ht="22.5" hidden="1" x14ac:dyDescent="0.2">
      <c r="A238" s="6"/>
      <c r="B238" s="6"/>
      <c r="C238" s="10"/>
      <c r="D238" s="2" t="s">
        <v>537</v>
      </c>
      <c r="E238" s="1">
        <v>1</v>
      </c>
      <c r="F238" s="5">
        <v>21</v>
      </c>
      <c r="G238" s="5"/>
      <c r="H238" s="5"/>
      <c r="I238" s="14">
        <f>ROUND(E238*F238,3)</f>
        <v>21</v>
      </c>
      <c r="J238" s="6"/>
      <c r="K238" s="6"/>
      <c r="L238" s="6"/>
      <c r="O238" s="58" t="s">
        <v>2179</v>
      </c>
      <c r="R238" s="58" t="s">
        <v>2182</v>
      </c>
    </row>
    <row r="239" spans="1:18" hidden="1" x14ac:dyDescent="0.2">
      <c r="A239" s="6"/>
      <c r="B239" s="6"/>
      <c r="C239" s="10"/>
      <c r="D239" s="2" t="s">
        <v>538</v>
      </c>
      <c r="E239" s="1">
        <v>1</v>
      </c>
      <c r="F239" s="5">
        <v>4.9800000000000004</v>
      </c>
      <c r="G239" s="5">
        <v>2.35</v>
      </c>
      <c r="H239" s="5"/>
      <c r="I239" s="14">
        <f>ROUND(E239*F239*G239,3)</f>
        <v>11.702999999999999</v>
      </c>
      <c r="J239" s="16">
        <f>SUM(I237:I239)</f>
        <v>36.323</v>
      </c>
      <c r="K239" s="6"/>
      <c r="L239" s="6"/>
      <c r="O239" s="58" t="s">
        <v>2179</v>
      </c>
      <c r="R239" s="58" t="s">
        <v>2182</v>
      </c>
    </row>
    <row r="240" spans="1:18" ht="15.4" hidden="1" customHeight="1" x14ac:dyDescent="0.2">
      <c r="A240" s="3" t="s">
        <v>539</v>
      </c>
      <c r="B240" s="2" t="s">
        <v>540</v>
      </c>
      <c r="C240" s="45" t="s">
        <v>541</v>
      </c>
      <c r="D240" s="45"/>
      <c r="E240" s="45"/>
      <c r="F240" s="45"/>
      <c r="G240" s="45"/>
      <c r="H240" s="45"/>
      <c r="I240" s="45"/>
      <c r="J240" s="4">
        <f>SUM(J243:J245)</f>
        <v>36.323</v>
      </c>
      <c r="K240" s="5">
        <f>ROUND(0*(1+L2/100),2)</f>
        <v>0</v>
      </c>
      <c r="L240" s="5">
        <f>ROUND(J240*K240,2)</f>
        <v>0</v>
      </c>
      <c r="O240" s="58" t="s">
        <v>2179</v>
      </c>
    </row>
    <row r="241" spans="1:18" ht="59.25" hidden="1" customHeight="1" x14ac:dyDescent="0.2">
      <c r="A241" s="6"/>
      <c r="B241" s="6"/>
      <c r="C241" s="45" t="s">
        <v>542</v>
      </c>
      <c r="D241" s="45"/>
      <c r="E241" s="45"/>
      <c r="F241" s="45"/>
      <c r="G241" s="45"/>
      <c r="H241" s="45"/>
      <c r="I241" s="45"/>
      <c r="J241" s="45"/>
      <c r="K241" s="45"/>
      <c r="L241" s="45"/>
      <c r="O241" s="58" t="s">
        <v>2179</v>
      </c>
    </row>
    <row r="242" spans="1:18" ht="15.2" hidden="1" customHeight="1" x14ac:dyDescent="0.2">
      <c r="A242" s="6"/>
      <c r="B242" s="6"/>
      <c r="C242" s="6"/>
      <c r="D242" s="7"/>
      <c r="E242" s="9" t="s">
        <v>543</v>
      </c>
      <c r="F242" s="9" t="s">
        <v>544</v>
      </c>
      <c r="G242" s="9" t="s">
        <v>545</v>
      </c>
      <c r="H242" s="9" t="s">
        <v>546</v>
      </c>
      <c r="I242" s="9" t="s">
        <v>547</v>
      </c>
      <c r="J242" s="9" t="s">
        <v>548</v>
      </c>
      <c r="K242" s="6"/>
      <c r="L242" s="6"/>
      <c r="O242" s="58" t="s">
        <v>2179</v>
      </c>
    </row>
    <row r="243" spans="1:18" ht="22.5" hidden="1" x14ac:dyDescent="0.2">
      <c r="A243" s="6"/>
      <c r="B243" s="6"/>
      <c r="C243" s="10"/>
      <c r="D243" s="11" t="s">
        <v>549</v>
      </c>
      <c r="E243" s="12">
        <v>1</v>
      </c>
      <c r="F243" s="13">
        <v>3.62</v>
      </c>
      <c r="G243" s="13"/>
      <c r="H243" s="13"/>
      <c r="I243" s="15">
        <f>ROUND(E243*F243,3)</f>
        <v>3.62</v>
      </c>
      <c r="J243" s="18"/>
      <c r="K243" s="6"/>
      <c r="L243" s="6"/>
      <c r="O243" s="58" t="s">
        <v>2179</v>
      </c>
    </row>
    <row r="244" spans="1:18" ht="22.5" hidden="1" x14ac:dyDescent="0.2">
      <c r="A244" s="6"/>
      <c r="B244" s="6"/>
      <c r="C244" s="10"/>
      <c r="D244" s="2" t="s">
        <v>550</v>
      </c>
      <c r="E244" s="1">
        <v>1</v>
      </c>
      <c r="F244" s="5">
        <v>21</v>
      </c>
      <c r="G244" s="5"/>
      <c r="H244" s="5"/>
      <c r="I244" s="14">
        <f>ROUND(E244*F244,3)</f>
        <v>21</v>
      </c>
      <c r="J244" s="6"/>
      <c r="K244" s="6"/>
      <c r="L244" s="6"/>
      <c r="O244" s="58" t="s">
        <v>2179</v>
      </c>
    </row>
    <row r="245" spans="1:18" hidden="1" x14ac:dyDescent="0.2">
      <c r="A245" s="6"/>
      <c r="B245" s="6"/>
      <c r="C245" s="10"/>
      <c r="D245" s="2" t="s">
        <v>551</v>
      </c>
      <c r="E245" s="1">
        <v>1</v>
      </c>
      <c r="F245" s="5">
        <v>4.9800000000000004</v>
      </c>
      <c r="G245" s="5">
        <v>2.35</v>
      </c>
      <c r="H245" s="5"/>
      <c r="I245" s="14">
        <f>ROUND(E245*F245*G245,3)</f>
        <v>11.702999999999999</v>
      </c>
      <c r="J245" s="16">
        <f>SUM(I243:I245)</f>
        <v>36.323</v>
      </c>
      <c r="K245" s="6"/>
      <c r="L245" s="6"/>
      <c r="O245" s="58" t="s">
        <v>2179</v>
      </c>
    </row>
    <row r="246" spans="1:18" ht="15.4" hidden="1" customHeight="1" x14ac:dyDescent="0.2">
      <c r="A246" s="3" t="s">
        <v>552</v>
      </c>
      <c r="B246" s="2" t="s">
        <v>553</v>
      </c>
      <c r="C246" s="45" t="s">
        <v>554</v>
      </c>
      <c r="D246" s="45"/>
      <c r="E246" s="45"/>
      <c r="F246" s="45"/>
      <c r="G246" s="45"/>
      <c r="H246" s="45"/>
      <c r="I246" s="45"/>
      <c r="J246" s="4">
        <f>SUM(J249:J251)</f>
        <v>36.323</v>
      </c>
      <c r="K246" s="5">
        <f>ROUND(0*(1+L2/100),2)</f>
        <v>0</v>
      </c>
      <c r="L246" s="5">
        <f>ROUND(J246*K246,2)</f>
        <v>0</v>
      </c>
      <c r="O246" s="58" t="s">
        <v>2179</v>
      </c>
      <c r="R246" s="58" t="s">
        <v>2182</v>
      </c>
    </row>
    <row r="247" spans="1:18" ht="27" hidden="1" customHeight="1" x14ac:dyDescent="0.2">
      <c r="A247" s="6"/>
      <c r="B247" s="6"/>
      <c r="C247" s="45" t="s">
        <v>555</v>
      </c>
      <c r="D247" s="45"/>
      <c r="E247" s="45"/>
      <c r="F247" s="45"/>
      <c r="G247" s="45"/>
      <c r="H247" s="45"/>
      <c r="I247" s="45"/>
      <c r="J247" s="45"/>
      <c r="K247" s="45"/>
      <c r="L247" s="45"/>
      <c r="O247" s="58" t="s">
        <v>2179</v>
      </c>
      <c r="R247" s="58" t="s">
        <v>2182</v>
      </c>
    </row>
    <row r="248" spans="1:18" ht="15.2" hidden="1" customHeight="1" x14ac:dyDescent="0.2">
      <c r="A248" s="6"/>
      <c r="B248" s="6"/>
      <c r="C248" s="6"/>
      <c r="D248" s="7"/>
      <c r="E248" s="9" t="s">
        <v>556</v>
      </c>
      <c r="F248" s="9" t="s">
        <v>557</v>
      </c>
      <c r="G248" s="9" t="s">
        <v>558</v>
      </c>
      <c r="H248" s="9" t="s">
        <v>559</v>
      </c>
      <c r="I248" s="9" t="s">
        <v>560</v>
      </c>
      <c r="J248" s="9" t="s">
        <v>561</v>
      </c>
      <c r="K248" s="6"/>
      <c r="L248" s="6"/>
      <c r="O248" s="58" t="s">
        <v>2179</v>
      </c>
      <c r="R248" s="58" t="s">
        <v>2182</v>
      </c>
    </row>
    <row r="249" spans="1:18" ht="22.5" hidden="1" x14ac:dyDescent="0.2">
      <c r="A249" s="6"/>
      <c r="B249" s="6"/>
      <c r="C249" s="10"/>
      <c r="D249" s="11" t="s">
        <v>562</v>
      </c>
      <c r="E249" s="12">
        <v>3.62</v>
      </c>
      <c r="F249" s="13"/>
      <c r="G249" s="13"/>
      <c r="H249" s="13"/>
      <c r="I249" s="15">
        <f>ROUND(E249,3)</f>
        <v>3.62</v>
      </c>
      <c r="J249" s="18"/>
      <c r="K249" s="6"/>
      <c r="L249" s="6"/>
      <c r="O249" s="58" t="s">
        <v>2179</v>
      </c>
      <c r="R249" s="58" t="s">
        <v>2182</v>
      </c>
    </row>
    <row r="250" spans="1:18" ht="22.5" hidden="1" x14ac:dyDescent="0.2">
      <c r="A250" s="6"/>
      <c r="B250" s="6"/>
      <c r="C250" s="10"/>
      <c r="D250" s="2" t="s">
        <v>563</v>
      </c>
      <c r="E250" s="1">
        <v>1</v>
      </c>
      <c r="F250" s="5">
        <v>21</v>
      </c>
      <c r="G250" s="5"/>
      <c r="H250" s="5"/>
      <c r="I250" s="14">
        <f>ROUND(E250*F250,3)</f>
        <v>21</v>
      </c>
      <c r="J250" s="6"/>
      <c r="K250" s="6"/>
      <c r="L250" s="6"/>
      <c r="O250" s="58" t="s">
        <v>2179</v>
      </c>
      <c r="R250" s="58" t="s">
        <v>2182</v>
      </c>
    </row>
    <row r="251" spans="1:18" hidden="1" x14ac:dyDescent="0.2">
      <c r="A251" s="6"/>
      <c r="B251" s="6"/>
      <c r="C251" s="10"/>
      <c r="D251" s="2" t="s">
        <v>564</v>
      </c>
      <c r="E251" s="1">
        <v>1</v>
      </c>
      <c r="F251" s="5">
        <v>4.9800000000000004</v>
      </c>
      <c r="G251" s="5">
        <v>2.35</v>
      </c>
      <c r="H251" s="5"/>
      <c r="I251" s="14">
        <f>ROUND(E251*F251*G251,3)</f>
        <v>11.702999999999999</v>
      </c>
      <c r="J251" s="16">
        <f>SUM(I249:I251)</f>
        <v>36.323</v>
      </c>
      <c r="K251" s="6"/>
      <c r="L251" s="6"/>
      <c r="O251" s="58" t="s">
        <v>2179</v>
      </c>
      <c r="R251" s="58" t="s">
        <v>2182</v>
      </c>
    </row>
    <row r="252" spans="1:18" ht="15.4" hidden="1" customHeight="1" x14ac:dyDescent="0.2">
      <c r="A252" s="3" t="s">
        <v>565</v>
      </c>
      <c r="B252" s="2" t="s">
        <v>566</v>
      </c>
      <c r="C252" s="45" t="s">
        <v>567</v>
      </c>
      <c r="D252" s="45"/>
      <c r="E252" s="45"/>
      <c r="F252" s="45"/>
      <c r="G252" s="45"/>
      <c r="H252" s="45"/>
      <c r="I252" s="45"/>
      <c r="J252" s="4">
        <f>SUM(J255:J255)</f>
        <v>3.62</v>
      </c>
      <c r="K252" s="5">
        <f>ROUND(0*(1+L2/100),2)</f>
        <v>0</v>
      </c>
      <c r="L252" s="5">
        <f>ROUND(J252*K252,2)</f>
        <v>0</v>
      </c>
      <c r="O252" s="58" t="s">
        <v>2179</v>
      </c>
      <c r="R252" s="58" t="s">
        <v>2182</v>
      </c>
    </row>
    <row r="253" spans="1:18" ht="48" hidden="1" customHeight="1" x14ac:dyDescent="0.2">
      <c r="A253" s="6"/>
      <c r="B253" s="6"/>
      <c r="C253" s="45" t="s">
        <v>568</v>
      </c>
      <c r="D253" s="45"/>
      <c r="E253" s="45"/>
      <c r="F253" s="45"/>
      <c r="G253" s="45"/>
      <c r="H253" s="45"/>
      <c r="I253" s="45"/>
      <c r="J253" s="45"/>
      <c r="K253" s="45"/>
      <c r="L253" s="45"/>
      <c r="O253" s="58" t="s">
        <v>2179</v>
      </c>
      <c r="R253" s="58" t="s">
        <v>2182</v>
      </c>
    </row>
    <row r="254" spans="1:18" ht="15.2" hidden="1" customHeight="1" x14ac:dyDescent="0.2">
      <c r="A254" s="6"/>
      <c r="B254" s="6"/>
      <c r="C254" s="6"/>
      <c r="D254" s="7"/>
      <c r="E254" s="9" t="s">
        <v>569</v>
      </c>
      <c r="F254" s="9" t="s">
        <v>570</v>
      </c>
      <c r="G254" s="9" t="s">
        <v>571</v>
      </c>
      <c r="H254" s="9" t="s">
        <v>572</v>
      </c>
      <c r="I254" s="9" t="s">
        <v>573</v>
      </c>
      <c r="J254" s="9" t="s">
        <v>574</v>
      </c>
      <c r="K254" s="6"/>
      <c r="L254" s="6"/>
      <c r="O254" s="58" t="s">
        <v>2179</v>
      </c>
      <c r="R254" s="58" t="s">
        <v>2182</v>
      </c>
    </row>
    <row r="255" spans="1:18" ht="15.2" hidden="1" customHeight="1" x14ac:dyDescent="0.2">
      <c r="A255" s="6"/>
      <c r="B255" s="6"/>
      <c r="C255" s="10"/>
      <c r="D255" s="11" t="s">
        <v>575</v>
      </c>
      <c r="E255" s="12">
        <v>1</v>
      </c>
      <c r="F255" s="13">
        <v>3.62</v>
      </c>
      <c r="G255" s="13"/>
      <c r="H255" s="13"/>
      <c r="I255" s="15">
        <f>ROUND(E255*F255,3)</f>
        <v>3.62</v>
      </c>
      <c r="J255" s="17">
        <f>SUM(I255:I255)</f>
        <v>3.62</v>
      </c>
      <c r="K255" s="6"/>
      <c r="L255" s="6"/>
      <c r="O255" s="58" t="s">
        <v>2179</v>
      </c>
      <c r="R255" s="58" t="s">
        <v>2182</v>
      </c>
    </row>
    <row r="256" spans="1:18" ht="15.4" hidden="1" customHeight="1" x14ac:dyDescent="0.2">
      <c r="A256" s="3" t="s">
        <v>576</v>
      </c>
      <c r="B256" s="2" t="s">
        <v>577</v>
      </c>
      <c r="C256" s="45" t="s">
        <v>578</v>
      </c>
      <c r="D256" s="45"/>
      <c r="E256" s="45"/>
      <c r="F256" s="45"/>
      <c r="G256" s="45"/>
      <c r="H256" s="45"/>
      <c r="I256" s="45"/>
      <c r="J256" s="4">
        <f>SUM(J259:J261)</f>
        <v>36.323</v>
      </c>
      <c r="K256" s="5">
        <f>ROUND(0*(1+L2/100),2)</f>
        <v>0</v>
      </c>
      <c r="L256" s="5">
        <f>ROUND(J256*K256,2)</f>
        <v>0</v>
      </c>
      <c r="O256" s="58" t="s">
        <v>2179</v>
      </c>
      <c r="Q256" s="58" t="s">
        <v>2181</v>
      </c>
    </row>
    <row r="257" spans="1:17" ht="72.75" hidden="1" customHeight="1" x14ac:dyDescent="0.2">
      <c r="A257" s="6"/>
      <c r="B257" s="6"/>
      <c r="C257" s="45" t="s">
        <v>579</v>
      </c>
      <c r="D257" s="45"/>
      <c r="E257" s="45"/>
      <c r="F257" s="45"/>
      <c r="G257" s="45"/>
      <c r="H257" s="45"/>
      <c r="I257" s="45"/>
      <c r="J257" s="45"/>
      <c r="K257" s="45"/>
      <c r="L257" s="45"/>
      <c r="O257" s="58" t="s">
        <v>2179</v>
      </c>
      <c r="Q257" s="58" t="s">
        <v>2181</v>
      </c>
    </row>
    <row r="258" spans="1:17" ht="15.2" hidden="1" customHeight="1" x14ac:dyDescent="0.2">
      <c r="A258" s="6"/>
      <c r="B258" s="6"/>
      <c r="C258" s="6"/>
      <c r="D258" s="7"/>
      <c r="E258" s="9" t="s">
        <v>580</v>
      </c>
      <c r="F258" s="9" t="s">
        <v>581</v>
      </c>
      <c r="G258" s="9" t="s">
        <v>582</v>
      </c>
      <c r="H258" s="9" t="s">
        <v>583</v>
      </c>
      <c r="I258" s="9" t="s">
        <v>584</v>
      </c>
      <c r="J258" s="9" t="s">
        <v>585</v>
      </c>
      <c r="K258" s="6"/>
      <c r="L258" s="6"/>
      <c r="O258" s="58" t="s">
        <v>2179</v>
      </c>
      <c r="Q258" s="58" t="s">
        <v>2181</v>
      </c>
    </row>
    <row r="259" spans="1:17" ht="22.5" hidden="1" x14ac:dyDescent="0.2">
      <c r="A259" s="6"/>
      <c r="B259" s="6"/>
      <c r="C259" s="10"/>
      <c r="D259" s="11" t="s">
        <v>586</v>
      </c>
      <c r="E259" s="12">
        <v>1</v>
      </c>
      <c r="F259" s="13">
        <v>3.62</v>
      </c>
      <c r="G259" s="13"/>
      <c r="H259" s="13"/>
      <c r="I259" s="15">
        <f>ROUND(E259*F259,3)</f>
        <v>3.62</v>
      </c>
      <c r="J259" s="18"/>
      <c r="K259" s="6"/>
      <c r="L259" s="6"/>
      <c r="O259" s="58" t="s">
        <v>2179</v>
      </c>
      <c r="Q259" s="58" t="s">
        <v>2181</v>
      </c>
    </row>
    <row r="260" spans="1:17" ht="22.5" hidden="1" x14ac:dyDescent="0.2">
      <c r="A260" s="6"/>
      <c r="B260" s="6"/>
      <c r="C260" s="10"/>
      <c r="D260" s="2" t="s">
        <v>587</v>
      </c>
      <c r="E260" s="1">
        <v>1</v>
      </c>
      <c r="F260" s="5">
        <v>21</v>
      </c>
      <c r="G260" s="5"/>
      <c r="H260" s="5"/>
      <c r="I260" s="14">
        <f>ROUND(E260*F260,3)</f>
        <v>21</v>
      </c>
      <c r="J260" s="6"/>
      <c r="K260" s="6"/>
      <c r="L260" s="6"/>
      <c r="O260" s="58" t="s">
        <v>2179</v>
      </c>
      <c r="Q260" s="58" t="s">
        <v>2181</v>
      </c>
    </row>
    <row r="261" spans="1:17" hidden="1" x14ac:dyDescent="0.2">
      <c r="A261" s="6"/>
      <c r="B261" s="6"/>
      <c r="C261" s="10"/>
      <c r="D261" s="2" t="s">
        <v>588</v>
      </c>
      <c r="E261" s="1">
        <v>1</v>
      </c>
      <c r="F261" s="5">
        <v>4.9800000000000004</v>
      </c>
      <c r="G261" s="5">
        <v>2.35</v>
      </c>
      <c r="H261" s="5"/>
      <c r="I261" s="14">
        <f>ROUND(E261*F261*G261,3)</f>
        <v>11.702999999999999</v>
      </c>
      <c r="J261" s="16">
        <f>SUM(I259:I261)</f>
        <v>36.323</v>
      </c>
      <c r="K261" s="6"/>
      <c r="L261" s="6"/>
      <c r="O261" s="58" t="s">
        <v>2179</v>
      </c>
      <c r="Q261" s="58" t="s">
        <v>2181</v>
      </c>
    </row>
    <row r="262" spans="1:17" ht="15.4" hidden="1" customHeight="1" x14ac:dyDescent="0.2">
      <c r="A262" s="31" t="s">
        <v>589</v>
      </c>
      <c r="B262" s="28"/>
      <c r="C262" s="44" t="s">
        <v>590</v>
      </c>
      <c r="D262" s="44"/>
      <c r="E262" s="44"/>
      <c r="F262" s="44"/>
      <c r="G262" s="44"/>
      <c r="H262" s="44"/>
      <c r="I262" s="44"/>
      <c r="J262" s="28"/>
      <c r="K262" s="29">
        <v>0</v>
      </c>
      <c r="L262" s="29">
        <f>ROUND(K262,2)</f>
        <v>0</v>
      </c>
      <c r="O262" s="58" t="s">
        <v>2179</v>
      </c>
      <c r="P262" s="58" t="s">
        <v>2180</v>
      </c>
      <c r="Q262" s="58" t="s">
        <v>2181</v>
      </c>
    </row>
    <row r="263" spans="1:17" ht="15.4" hidden="1" customHeight="1" x14ac:dyDescent="0.2">
      <c r="A263" s="36" t="s">
        <v>591</v>
      </c>
      <c r="B263" s="32"/>
      <c r="C263" s="47" t="s">
        <v>592</v>
      </c>
      <c r="D263" s="47"/>
      <c r="E263" s="47"/>
      <c r="F263" s="47"/>
      <c r="G263" s="47"/>
      <c r="H263" s="47"/>
      <c r="I263" s="47"/>
      <c r="J263" s="32"/>
      <c r="K263" s="33">
        <v>0</v>
      </c>
      <c r="L263" s="33">
        <f>ROUND(K263,2)</f>
        <v>0</v>
      </c>
      <c r="O263" s="58" t="s">
        <v>2179</v>
      </c>
      <c r="P263" s="58" t="s">
        <v>2180</v>
      </c>
      <c r="Q263" s="58" t="s">
        <v>2181</v>
      </c>
    </row>
    <row r="264" spans="1:17" ht="15.4" hidden="1" customHeight="1" x14ac:dyDescent="0.2">
      <c r="A264" s="3" t="s">
        <v>593</v>
      </c>
      <c r="B264" s="2" t="s">
        <v>594</v>
      </c>
      <c r="C264" s="45" t="s">
        <v>595</v>
      </c>
      <c r="D264" s="45"/>
      <c r="E264" s="45"/>
      <c r="F264" s="45"/>
      <c r="G264" s="45"/>
      <c r="H264" s="45"/>
      <c r="I264" s="45"/>
      <c r="J264" s="4">
        <f>SUM(J267:J269)</f>
        <v>214.69</v>
      </c>
      <c r="K264" s="5">
        <f>ROUND(0*(1+L2/100),2)</f>
        <v>0</v>
      </c>
      <c r="L264" s="5">
        <f>ROUND(J264*K264,2)</f>
        <v>0</v>
      </c>
      <c r="O264" s="58" t="s">
        <v>2179</v>
      </c>
      <c r="Q264" s="58" t="s">
        <v>2181</v>
      </c>
    </row>
    <row r="265" spans="1:17" ht="87" hidden="1" customHeight="1" x14ac:dyDescent="0.2">
      <c r="A265" s="6"/>
      <c r="B265" s="6"/>
      <c r="C265" s="45" t="s">
        <v>596</v>
      </c>
      <c r="D265" s="45"/>
      <c r="E265" s="45"/>
      <c r="F265" s="45"/>
      <c r="G265" s="45"/>
      <c r="H265" s="45"/>
      <c r="I265" s="45"/>
      <c r="J265" s="45"/>
      <c r="K265" s="45"/>
      <c r="L265" s="45"/>
      <c r="O265" s="58" t="s">
        <v>2179</v>
      </c>
      <c r="Q265" s="58" t="s">
        <v>2181</v>
      </c>
    </row>
    <row r="266" spans="1:17" ht="15.2" hidden="1" customHeight="1" x14ac:dyDescent="0.2">
      <c r="A266" s="6"/>
      <c r="B266" s="6"/>
      <c r="C266" s="6"/>
      <c r="D266" s="7"/>
      <c r="E266" s="9" t="s">
        <v>597</v>
      </c>
      <c r="F266" s="9" t="s">
        <v>598</v>
      </c>
      <c r="G266" s="9" t="s">
        <v>599</v>
      </c>
      <c r="H266" s="9" t="s">
        <v>600</v>
      </c>
      <c r="I266" s="9" t="s">
        <v>601</v>
      </c>
      <c r="J266" s="9" t="s">
        <v>602</v>
      </c>
      <c r="K266" s="6"/>
      <c r="L266" s="6"/>
      <c r="O266" s="58" t="s">
        <v>2179</v>
      </c>
      <c r="Q266" s="58" t="s">
        <v>2181</v>
      </c>
    </row>
    <row r="267" spans="1:17" ht="15.2" hidden="1" customHeight="1" x14ac:dyDescent="0.2">
      <c r="A267" s="6"/>
      <c r="B267" s="6"/>
      <c r="C267" s="10"/>
      <c r="D267" s="11" t="s">
        <v>603</v>
      </c>
      <c r="E267" s="12">
        <v>56.59</v>
      </c>
      <c r="F267" s="13"/>
      <c r="G267" s="13"/>
      <c r="H267" s="13"/>
      <c r="I267" s="15">
        <f>ROUND(E267,3)</f>
        <v>56.59</v>
      </c>
      <c r="J267" s="18"/>
      <c r="K267" s="6"/>
      <c r="L267" s="6"/>
      <c r="O267" s="58" t="s">
        <v>2179</v>
      </c>
      <c r="Q267" s="58" t="s">
        <v>2181</v>
      </c>
    </row>
    <row r="268" spans="1:17" ht="15.2" hidden="1" customHeight="1" x14ac:dyDescent="0.2">
      <c r="A268" s="6"/>
      <c r="B268" s="6"/>
      <c r="C268" s="10"/>
      <c r="D268" s="2" t="s">
        <v>604</v>
      </c>
      <c r="E268" s="1">
        <v>59.13</v>
      </c>
      <c r="F268" s="5"/>
      <c r="G268" s="5"/>
      <c r="H268" s="5"/>
      <c r="I268" s="14">
        <f>ROUND(E268,3)</f>
        <v>59.13</v>
      </c>
      <c r="J268" s="6"/>
      <c r="K268" s="6"/>
      <c r="L268" s="6"/>
      <c r="O268" s="58" t="s">
        <v>2179</v>
      </c>
      <c r="Q268" s="58" t="s">
        <v>2181</v>
      </c>
    </row>
    <row r="269" spans="1:17" ht="15.2" hidden="1" customHeight="1" x14ac:dyDescent="0.2">
      <c r="A269" s="6"/>
      <c r="B269" s="6"/>
      <c r="C269" s="10"/>
      <c r="D269" s="2" t="s">
        <v>605</v>
      </c>
      <c r="E269" s="1">
        <v>98.97</v>
      </c>
      <c r="F269" s="5"/>
      <c r="G269" s="5"/>
      <c r="H269" s="5"/>
      <c r="I269" s="14">
        <f>ROUND(E269,3)</f>
        <v>98.97</v>
      </c>
      <c r="J269" s="16">
        <f>SUM(I267:I269)</f>
        <v>214.69</v>
      </c>
      <c r="K269" s="6"/>
      <c r="L269" s="6"/>
      <c r="O269" s="58" t="s">
        <v>2179</v>
      </c>
      <c r="Q269" s="58" t="s">
        <v>2181</v>
      </c>
    </row>
    <row r="270" spans="1:17" ht="15.4" hidden="1" customHeight="1" x14ac:dyDescent="0.2">
      <c r="A270" s="3" t="s">
        <v>606</v>
      </c>
      <c r="B270" s="2" t="s">
        <v>607</v>
      </c>
      <c r="C270" s="45" t="s">
        <v>608</v>
      </c>
      <c r="D270" s="45"/>
      <c r="E270" s="45"/>
      <c r="F270" s="45"/>
      <c r="G270" s="45"/>
      <c r="H270" s="45"/>
      <c r="I270" s="45"/>
      <c r="J270" s="4">
        <f>SUM(J273:J273)</f>
        <v>10</v>
      </c>
      <c r="K270" s="5">
        <f>ROUND(0*(1+L2/100),2)</f>
        <v>0</v>
      </c>
      <c r="L270" s="5">
        <f>ROUND(J270*K270,2)</f>
        <v>0</v>
      </c>
      <c r="O270" s="58" t="s">
        <v>2179</v>
      </c>
      <c r="Q270" s="58" t="s">
        <v>2181</v>
      </c>
    </row>
    <row r="271" spans="1:17" ht="93.75" hidden="1" customHeight="1" x14ac:dyDescent="0.2">
      <c r="A271" s="6"/>
      <c r="B271" s="6"/>
      <c r="C271" s="45" t="s">
        <v>609</v>
      </c>
      <c r="D271" s="45"/>
      <c r="E271" s="45"/>
      <c r="F271" s="45"/>
      <c r="G271" s="45"/>
      <c r="H271" s="45"/>
      <c r="I271" s="45"/>
      <c r="J271" s="45"/>
      <c r="K271" s="45"/>
      <c r="L271" s="45"/>
      <c r="O271" s="58" t="s">
        <v>2179</v>
      </c>
      <c r="Q271" s="58" t="s">
        <v>2181</v>
      </c>
    </row>
    <row r="272" spans="1:17" ht="15.2" hidden="1" customHeight="1" x14ac:dyDescent="0.2">
      <c r="A272" s="6"/>
      <c r="B272" s="6"/>
      <c r="C272" s="6"/>
      <c r="D272" s="7"/>
      <c r="E272" s="9" t="s">
        <v>610</v>
      </c>
      <c r="F272" s="9" t="s">
        <v>611</v>
      </c>
      <c r="G272" s="9" t="s">
        <v>612</v>
      </c>
      <c r="H272" s="9" t="s">
        <v>613</v>
      </c>
      <c r="I272" s="9" t="s">
        <v>614</v>
      </c>
      <c r="J272" s="9" t="s">
        <v>615</v>
      </c>
      <c r="K272" s="6"/>
      <c r="L272" s="6"/>
      <c r="O272" s="58" t="s">
        <v>2179</v>
      </c>
      <c r="Q272" s="58" t="s">
        <v>2181</v>
      </c>
    </row>
    <row r="273" spans="1:17" ht="15.2" hidden="1" customHeight="1" x14ac:dyDescent="0.2">
      <c r="A273" s="6"/>
      <c r="B273" s="6"/>
      <c r="C273" s="10"/>
      <c r="D273" s="11" t="s">
        <v>616</v>
      </c>
      <c r="E273" s="12">
        <v>10</v>
      </c>
      <c r="F273" s="13"/>
      <c r="G273" s="13"/>
      <c r="H273" s="13"/>
      <c r="I273" s="15">
        <f>ROUND(E273,3)</f>
        <v>10</v>
      </c>
      <c r="J273" s="17">
        <f>SUM(I273:I273)</f>
        <v>10</v>
      </c>
      <c r="K273" s="6"/>
      <c r="L273" s="6"/>
      <c r="O273" s="58" t="s">
        <v>2179</v>
      </c>
      <c r="Q273" s="58" t="s">
        <v>2181</v>
      </c>
    </row>
    <row r="274" spans="1:17" ht="15.4" hidden="1" customHeight="1" x14ac:dyDescent="0.2">
      <c r="A274" s="3" t="s">
        <v>617</v>
      </c>
      <c r="B274" s="2" t="s">
        <v>618</v>
      </c>
      <c r="C274" s="45" t="s">
        <v>619</v>
      </c>
      <c r="D274" s="45"/>
      <c r="E274" s="45"/>
      <c r="F274" s="45"/>
      <c r="G274" s="45"/>
      <c r="H274" s="45"/>
      <c r="I274" s="45"/>
      <c r="J274" s="4">
        <f>SUM(J277:J280)</f>
        <v>7</v>
      </c>
      <c r="K274" s="5">
        <f>ROUND(0*(1+L2/100),2)</f>
        <v>0</v>
      </c>
      <c r="L274" s="5">
        <f>ROUND(J274*K274,2)</f>
        <v>0</v>
      </c>
      <c r="P274" s="58" t="s">
        <v>2180</v>
      </c>
    </row>
    <row r="275" spans="1:17" ht="40.5" hidden="1" customHeight="1" x14ac:dyDescent="0.2">
      <c r="A275" s="6"/>
      <c r="B275" s="6"/>
      <c r="C275" s="45" t="s">
        <v>620</v>
      </c>
      <c r="D275" s="45"/>
      <c r="E275" s="45"/>
      <c r="F275" s="45"/>
      <c r="G275" s="45"/>
      <c r="H275" s="45"/>
      <c r="I275" s="45"/>
      <c r="J275" s="45"/>
      <c r="K275" s="45"/>
      <c r="L275" s="45"/>
      <c r="P275" s="58" t="s">
        <v>2180</v>
      </c>
    </row>
    <row r="276" spans="1:17" ht="15.2" hidden="1" customHeight="1" x14ac:dyDescent="0.2">
      <c r="A276" s="6"/>
      <c r="B276" s="6"/>
      <c r="C276" s="6"/>
      <c r="D276" s="7"/>
      <c r="E276" s="9" t="s">
        <v>621</v>
      </c>
      <c r="F276" s="9" t="s">
        <v>622</v>
      </c>
      <c r="G276" s="9" t="s">
        <v>623</v>
      </c>
      <c r="H276" s="9" t="s">
        <v>624</v>
      </c>
      <c r="I276" s="9" t="s">
        <v>625</v>
      </c>
      <c r="J276" s="9" t="s">
        <v>626</v>
      </c>
      <c r="K276" s="6"/>
      <c r="L276" s="6"/>
      <c r="P276" s="58" t="s">
        <v>2180</v>
      </c>
    </row>
    <row r="277" spans="1:17" hidden="1" x14ac:dyDescent="0.2">
      <c r="A277" s="6"/>
      <c r="B277" s="6"/>
      <c r="C277" s="10"/>
      <c r="D277" s="11" t="s">
        <v>627</v>
      </c>
      <c r="E277" s="12"/>
      <c r="F277" s="13"/>
      <c r="G277" s="13"/>
      <c r="H277" s="13"/>
      <c r="I277" s="19" t="s">
        <v>628</v>
      </c>
      <c r="J277" s="18"/>
      <c r="K277" s="6"/>
      <c r="L277" s="6"/>
      <c r="P277" s="58" t="s">
        <v>2180</v>
      </c>
    </row>
    <row r="278" spans="1:17" ht="45" hidden="1" x14ac:dyDescent="0.2">
      <c r="A278" s="6"/>
      <c r="B278" s="6"/>
      <c r="C278" s="10"/>
      <c r="D278" s="2" t="s">
        <v>629</v>
      </c>
      <c r="E278" s="1">
        <v>3</v>
      </c>
      <c r="F278" s="5"/>
      <c r="G278" s="5"/>
      <c r="H278" s="5"/>
      <c r="I278" s="14">
        <f>ROUND(E278,3)</f>
        <v>3</v>
      </c>
      <c r="J278" s="6"/>
      <c r="K278" s="6"/>
      <c r="L278" s="6"/>
      <c r="P278" s="58" t="s">
        <v>2180</v>
      </c>
    </row>
    <row r="279" spans="1:17" hidden="1" x14ac:dyDescent="0.2">
      <c r="A279" s="6"/>
      <c r="B279" s="6"/>
      <c r="C279" s="10"/>
      <c r="D279" s="2" t="s">
        <v>630</v>
      </c>
      <c r="E279" s="1"/>
      <c r="F279" s="5"/>
      <c r="G279" s="5"/>
      <c r="H279" s="5"/>
      <c r="I279" s="8" t="s">
        <v>631</v>
      </c>
      <c r="J279" s="6"/>
      <c r="K279" s="6"/>
      <c r="L279" s="6"/>
      <c r="P279" s="58" t="s">
        <v>2180</v>
      </c>
    </row>
    <row r="280" spans="1:17" ht="33.75" hidden="1" x14ac:dyDescent="0.2">
      <c r="A280" s="6"/>
      <c r="B280" s="6"/>
      <c r="C280" s="10"/>
      <c r="D280" s="2" t="s">
        <v>632</v>
      </c>
      <c r="E280" s="1">
        <v>4</v>
      </c>
      <c r="F280" s="5"/>
      <c r="G280" s="5"/>
      <c r="H280" s="5"/>
      <c r="I280" s="14">
        <f>ROUND(E280,3)</f>
        <v>4</v>
      </c>
      <c r="J280" s="16">
        <f>SUM(I277:I280)</f>
        <v>7</v>
      </c>
      <c r="K280" s="6"/>
      <c r="L280" s="6"/>
      <c r="P280" s="58" t="s">
        <v>2180</v>
      </c>
    </row>
    <row r="281" spans="1:17" ht="15.4" hidden="1" customHeight="1" x14ac:dyDescent="0.2">
      <c r="A281" s="3" t="s">
        <v>633</v>
      </c>
      <c r="B281" s="2" t="s">
        <v>634</v>
      </c>
      <c r="C281" s="45" t="s">
        <v>635</v>
      </c>
      <c r="D281" s="45"/>
      <c r="E281" s="45"/>
      <c r="F281" s="45"/>
      <c r="G281" s="45"/>
      <c r="H281" s="45"/>
      <c r="I281" s="45"/>
      <c r="J281" s="4">
        <f>SUM(J284:J285)</f>
        <v>4</v>
      </c>
      <c r="K281" s="5">
        <f>ROUND(0*(1+L2/100),2)</f>
        <v>0</v>
      </c>
      <c r="L281" s="5">
        <f>ROUND(J281*K281,2)</f>
        <v>0</v>
      </c>
      <c r="P281" s="58" t="s">
        <v>2180</v>
      </c>
    </row>
    <row r="282" spans="1:17" ht="12.2" hidden="1" customHeight="1" x14ac:dyDescent="0.2">
      <c r="A282" s="6"/>
      <c r="B282" s="6"/>
      <c r="C282" s="45" t="s">
        <v>636</v>
      </c>
      <c r="D282" s="45"/>
      <c r="E282" s="45"/>
      <c r="F282" s="45"/>
      <c r="G282" s="45"/>
      <c r="H282" s="45"/>
      <c r="I282" s="45"/>
      <c r="J282" s="45"/>
      <c r="K282" s="45"/>
      <c r="L282" s="45"/>
      <c r="P282" s="58" t="s">
        <v>2180</v>
      </c>
    </row>
    <row r="283" spans="1:17" ht="15.2" hidden="1" customHeight="1" x14ac:dyDescent="0.2">
      <c r="A283" s="6"/>
      <c r="B283" s="6"/>
      <c r="C283" s="6"/>
      <c r="D283" s="7"/>
      <c r="E283" s="9" t="s">
        <v>637</v>
      </c>
      <c r="F283" s="9" t="s">
        <v>638</v>
      </c>
      <c r="G283" s="9" t="s">
        <v>639</v>
      </c>
      <c r="H283" s="9" t="s">
        <v>640</v>
      </c>
      <c r="I283" s="9" t="s">
        <v>641</v>
      </c>
      <c r="J283" s="9" t="s">
        <v>642</v>
      </c>
      <c r="K283" s="6"/>
      <c r="L283" s="6"/>
      <c r="P283" s="58" t="s">
        <v>2180</v>
      </c>
    </row>
    <row r="284" spans="1:17" ht="45" hidden="1" x14ac:dyDescent="0.2">
      <c r="A284" s="6"/>
      <c r="B284" s="6"/>
      <c r="C284" s="10"/>
      <c r="D284" s="11" t="s">
        <v>643</v>
      </c>
      <c r="E284" s="12">
        <v>2</v>
      </c>
      <c r="F284" s="13"/>
      <c r="G284" s="13"/>
      <c r="H284" s="13"/>
      <c r="I284" s="15">
        <f>ROUND(E284,3)</f>
        <v>2</v>
      </c>
      <c r="J284" s="18"/>
      <c r="K284" s="6"/>
      <c r="L284" s="6"/>
      <c r="P284" s="58" t="s">
        <v>2180</v>
      </c>
    </row>
    <row r="285" spans="1:17" ht="33.75" hidden="1" x14ac:dyDescent="0.2">
      <c r="A285" s="6"/>
      <c r="B285" s="6"/>
      <c r="C285" s="10"/>
      <c r="D285" s="2" t="s">
        <v>644</v>
      </c>
      <c r="E285" s="1">
        <v>2</v>
      </c>
      <c r="F285" s="5"/>
      <c r="G285" s="5"/>
      <c r="H285" s="5"/>
      <c r="I285" s="14">
        <f>ROUND(E285,3)</f>
        <v>2</v>
      </c>
      <c r="J285" s="16">
        <f>SUM(I284:I285)</f>
        <v>4</v>
      </c>
      <c r="K285" s="6"/>
      <c r="L285" s="6"/>
      <c r="P285" s="58" t="s">
        <v>2180</v>
      </c>
    </row>
    <row r="286" spans="1:17" ht="15.4" hidden="1" customHeight="1" x14ac:dyDescent="0.2">
      <c r="A286" s="3" t="s">
        <v>645</v>
      </c>
      <c r="B286" s="2" t="s">
        <v>646</v>
      </c>
      <c r="C286" s="45" t="s">
        <v>647</v>
      </c>
      <c r="D286" s="45"/>
      <c r="E286" s="45"/>
      <c r="F286" s="45"/>
      <c r="G286" s="45"/>
      <c r="H286" s="45"/>
      <c r="I286" s="45"/>
      <c r="J286" s="4">
        <f>ROUND(1,2)</f>
        <v>1</v>
      </c>
      <c r="K286" s="5">
        <f>ROUND(0*(1+L2/100),2)</f>
        <v>0</v>
      </c>
      <c r="L286" s="5">
        <f>ROUND(J286*K286,2)</f>
        <v>0</v>
      </c>
      <c r="P286" s="58" t="s">
        <v>2180</v>
      </c>
    </row>
    <row r="287" spans="1:17" ht="27.75" hidden="1" customHeight="1" x14ac:dyDescent="0.2">
      <c r="A287" s="6"/>
      <c r="B287" s="6"/>
      <c r="C287" s="45" t="s">
        <v>648</v>
      </c>
      <c r="D287" s="45"/>
      <c r="E287" s="45"/>
      <c r="F287" s="45"/>
      <c r="G287" s="45"/>
      <c r="H287" s="45"/>
      <c r="I287" s="45"/>
      <c r="J287" s="45"/>
      <c r="K287" s="45"/>
      <c r="L287" s="45"/>
      <c r="P287" s="58" t="s">
        <v>2180</v>
      </c>
    </row>
    <row r="288" spans="1:17" ht="15.4" hidden="1" customHeight="1" x14ac:dyDescent="0.2">
      <c r="A288" s="3" t="s">
        <v>649</v>
      </c>
      <c r="B288" s="2" t="s">
        <v>650</v>
      </c>
      <c r="C288" s="45" t="s">
        <v>651</v>
      </c>
      <c r="D288" s="45"/>
      <c r="E288" s="45"/>
      <c r="F288" s="45"/>
      <c r="G288" s="45"/>
      <c r="H288" s="45"/>
      <c r="I288" s="45"/>
      <c r="J288" s="4">
        <f>SUM(J291:J293)</f>
        <v>2246</v>
      </c>
      <c r="K288" s="5">
        <f>ROUND(0*(1+L2/100),2)</f>
        <v>0</v>
      </c>
      <c r="L288" s="5">
        <f>ROUND(J288*K288,2)</f>
        <v>0</v>
      </c>
      <c r="P288" s="58" t="s">
        <v>2180</v>
      </c>
    </row>
    <row r="289" spans="1:17" ht="51.75" hidden="1" customHeight="1" x14ac:dyDescent="0.2">
      <c r="A289" s="6"/>
      <c r="B289" s="6"/>
      <c r="C289" s="45" t="s">
        <v>652</v>
      </c>
      <c r="D289" s="45"/>
      <c r="E289" s="45"/>
      <c r="F289" s="45"/>
      <c r="G289" s="45"/>
      <c r="H289" s="45"/>
      <c r="I289" s="45"/>
      <c r="J289" s="45"/>
      <c r="K289" s="45"/>
      <c r="L289" s="45"/>
      <c r="P289" s="58" t="s">
        <v>2180</v>
      </c>
    </row>
    <row r="290" spans="1:17" ht="15.2" hidden="1" customHeight="1" x14ac:dyDescent="0.2">
      <c r="A290" s="6"/>
      <c r="B290" s="6"/>
      <c r="C290" s="6"/>
      <c r="D290" s="7"/>
      <c r="E290" s="9" t="s">
        <v>653</v>
      </c>
      <c r="F290" s="9" t="s">
        <v>654</v>
      </c>
      <c r="G290" s="9" t="s">
        <v>655</v>
      </c>
      <c r="H290" s="9" t="s">
        <v>656</v>
      </c>
      <c r="I290" s="9" t="s">
        <v>657</v>
      </c>
      <c r="J290" s="9" t="s">
        <v>658</v>
      </c>
      <c r="K290" s="6"/>
      <c r="L290" s="6"/>
      <c r="P290" s="58" t="s">
        <v>2180</v>
      </c>
    </row>
    <row r="291" spans="1:17" ht="22.5" hidden="1" x14ac:dyDescent="0.2">
      <c r="A291" s="6"/>
      <c r="B291" s="6"/>
      <c r="C291" s="10"/>
      <c r="D291" s="11" t="s">
        <v>659</v>
      </c>
      <c r="E291" s="12">
        <v>202</v>
      </c>
      <c r="F291" s="13"/>
      <c r="G291" s="13"/>
      <c r="H291" s="13"/>
      <c r="I291" s="15">
        <f>ROUND(E291,3)</f>
        <v>202</v>
      </c>
      <c r="J291" s="18"/>
      <c r="K291" s="6"/>
      <c r="L291" s="6"/>
      <c r="P291" s="58" t="s">
        <v>2180</v>
      </c>
    </row>
    <row r="292" spans="1:17" ht="33.75" hidden="1" x14ac:dyDescent="0.2">
      <c r="A292" s="6"/>
      <c r="B292" s="6"/>
      <c r="C292" s="10"/>
      <c r="D292" s="2" t="s">
        <v>660</v>
      </c>
      <c r="E292" s="1">
        <v>929</v>
      </c>
      <c r="F292" s="5"/>
      <c r="G292" s="5"/>
      <c r="H292" s="5"/>
      <c r="I292" s="14">
        <f>ROUND(E292,3)</f>
        <v>929</v>
      </c>
      <c r="J292" s="6"/>
      <c r="K292" s="6"/>
      <c r="L292" s="6"/>
      <c r="P292" s="58" t="s">
        <v>2180</v>
      </c>
    </row>
    <row r="293" spans="1:17" ht="33.75" hidden="1" x14ac:dyDescent="0.2">
      <c r="A293" s="6"/>
      <c r="B293" s="6"/>
      <c r="C293" s="10"/>
      <c r="D293" s="2" t="s">
        <v>661</v>
      </c>
      <c r="E293" s="1">
        <v>1115</v>
      </c>
      <c r="F293" s="5"/>
      <c r="G293" s="5"/>
      <c r="H293" s="5"/>
      <c r="I293" s="14">
        <f>ROUND(E293,3)</f>
        <v>1115</v>
      </c>
      <c r="J293" s="16">
        <f>SUM(I291:I293)</f>
        <v>2246</v>
      </c>
      <c r="K293" s="6"/>
      <c r="L293" s="6"/>
      <c r="P293" s="58" t="s">
        <v>2180</v>
      </c>
    </row>
    <row r="294" spans="1:17" ht="15.4" hidden="1" customHeight="1" x14ac:dyDescent="0.2">
      <c r="A294" s="3" t="s">
        <v>662</v>
      </c>
      <c r="B294" s="2" t="s">
        <v>663</v>
      </c>
      <c r="C294" s="45" t="s">
        <v>664</v>
      </c>
      <c r="D294" s="45"/>
      <c r="E294" s="45"/>
      <c r="F294" s="45"/>
      <c r="G294" s="45"/>
      <c r="H294" s="45"/>
      <c r="I294" s="45"/>
      <c r="J294" s="4">
        <f>SUM(J297:J299)</f>
        <v>534</v>
      </c>
      <c r="K294" s="5">
        <f>ROUND(0*(1+L2/100),2)</f>
        <v>0</v>
      </c>
      <c r="L294" s="5">
        <f>ROUND(J294*K294,2)</f>
        <v>0</v>
      </c>
      <c r="P294" s="58" t="s">
        <v>2180</v>
      </c>
    </row>
    <row r="295" spans="1:17" ht="65.25" hidden="1" customHeight="1" x14ac:dyDescent="0.2">
      <c r="A295" s="6"/>
      <c r="B295" s="6"/>
      <c r="C295" s="45" t="s">
        <v>665</v>
      </c>
      <c r="D295" s="45"/>
      <c r="E295" s="45"/>
      <c r="F295" s="45"/>
      <c r="G295" s="45"/>
      <c r="H295" s="45"/>
      <c r="I295" s="45"/>
      <c r="J295" s="45"/>
      <c r="K295" s="45"/>
      <c r="L295" s="45"/>
      <c r="P295" s="58" t="s">
        <v>2180</v>
      </c>
    </row>
    <row r="296" spans="1:17" hidden="1" x14ac:dyDescent="0.2">
      <c r="A296" s="6"/>
      <c r="B296" s="6"/>
      <c r="C296" s="6"/>
      <c r="D296" s="7"/>
      <c r="E296" s="9" t="s">
        <v>666</v>
      </c>
      <c r="F296" s="9" t="s">
        <v>667</v>
      </c>
      <c r="G296" s="9" t="s">
        <v>668</v>
      </c>
      <c r="H296" s="9" t="s">
        <v>669</v>
      </c>
      <c r="I296" s="9" t="s">
        <v>670</v>
      </c>
      <c r="J296" s="9" t="s">
        <v>671</v>
      </c>
      <c r="K296" s="6"/>
      <c r="L296" s="6"/>
      <c r="P296" s="58" t="s">
        <v>2180</v>
      </c>
    </row>
    <row r="297" spans="1:17" hidden="1" x14ac:dyDescent="0.2">
      <c r="A297" s="6"/>
      <c r="B297" s="6"/>
      <c r="C297" s="10"/>
      <c r="D297" s="11" t="s">
        <v>672</v>
      </c>
      <c r="E297" s="12">
        <v>114</v>
      </c>
      <c r="F297" s="13"/>
      <c r="G297" s="13"/>
      <c r="H297" s="13"/>
      <c r="I297" s="15">
        <f>ROUND(E297,3)</f>
        <v>114</v>
      </c>
      <c r="J297" s="18"/>
      <c r="K297" s="6"/>
      <c r="L297" s="6"/>
      <c r="P297" s="58" t="s">
        <v>2180</v>
      </c>
    </row>
    <row r="298" spans="1:17" ht="22.5" hidden="1" x14ac:dyDescent="0.2">
      <c r="A298" s="6"/>
      <c r="B298" s="6"/>
      <c r="C298" s="10"/>
      <c r="D298" s="2" t="s">
        <v>673</v>
      </c>
      <c r="E298" s="1">
        <v>189</v>
      </c>
      <c r="F298" s="5"/>
      <c r="G298" s="5"/>
      <c r="H298" s="5"/>
      <c r="I298" s="14">
        <f>ROUND(E298,3)</f>
        <v>189</v>
      </c>
      <c r="J298" s="6"/>
      <c r="K298" s="6"/>
      <c r="L298" s="6"/>
      <c r="P298" s="58" t="s">
        <v>2180</v>
      </c>
    </row>
    <row r="299" spans="1:17" ht="22.5" hidden="1" x14ac:dyDescent="0.2">
      <c r="A299" s="6"/>
      <c r="B299" s="6"/>
      <c r="C299" s="10"/>
      <c r="D299" s="2" t="s">
        <v>674</v>
      </c>
      <c r="E299" s="1">
        <v>231</v>
      </c>
      <c r="F299" s="5"/>
      <c r="G299" s="5"/>
      <c r="H299" s="5"/>
      <c r="I299" s="14">
        <f>ROUND(E299,3)</f>
        <v>231</v>
      </c>
      <c r="J299" s="16">
        <f>SUM(I297:I299)</f>
        <v>534</v>
      </c>
      <c r="K299" s="6"/>
      <c r="L299" s="6"/>
      <c r="P299" s="58" t="s">
        <v>2180</v>
      </c>
    </row>
    <row r="300" spans="1:17" ht="15.4" hidden="1" customHeight="1" x14ac:dyDescent="0.2">
      <c r="A300" s="3" t="s">
        <v>675</v>
      </c>
      <c r="B300" s="2" t="s">
        <v>676</v>
      </c>
      <c r="C300" s="45" t="s">
        <v>677</v>
      </c>
      <c r="D300" s="45"/>
      <c r="E300" s="45"/>
      <c r="F300" s="45"/>
      <c r="G300" s="45"/>
      <c r="H300" s="45"/>
      <c r="I300" s="45"/>
      <c r="J300" s="4">
        <f>SUM(J303:J303)</f>
        <v>43.38</v>
      </c>
      <c r="K300" s="5">
        <f>ROUND(0*(1+L2/100),2)</f>
        <v>0</v>
      </c>
      <c r="L300" s="5">
        <f>ROUND(J300*K300,2)</f>
        <v>0</v>
      </c>
      <c r="Q300" s="58" t="s">
        <v>2181</v>
      </c>
    </row>
    <row r="301" spans="1:17" ht="73.5" hidden="1" customHeight="1" x14ac:dyDescent="0.2">
      <c r="A301" s="6"/>
      <c r="B301" s="6"/>
      <c r="C301" s="45" t="s">
        <v>678</v>
      </c>
      <c r="D301" s="45"/>
      <c r="E301" s="45"/>
      <c r="F301" s="45"/>
      <c r="G301" s="45"/>
      <c r="H301" s="45"/>
      <c r="I301" s="45"/>
      <c r="J301" s="45"/>
      <c r="K301" s="45"/>
      <c r="L301" s="45"/>
      <c r="Q301" s="58" t="s">
        <v>2181</v>
      </c>
    </row>
    <row r="302" spans="1:17" ht="15.2" hidden="1" customHeight="1" x14ac:dyDescent="0.2">
      <c r="A302" s="6"/>
      <c r="B302" s="6"/>
      <c r="C302" s="6"/>
      <c r="D302" s="7"/>
      <c r="E302" s="9" t="s">
        <v>679</v>
      </c>
      <c r="F302" s="9" t="s">
        <v>680</v>
      </c>
      <c r="G302" s="9" t="s">
        <v>681</v>
      </c>
      <c r="H302" s="9" t="s">
        <v>682</v>
      </c>
      <c r="I302" s="9" t="s">
        <v>683</v>
      </c>
      <c r="J302" s="9" t="s">
        <v>684</v>
      </c>
      <c r="K302" s="6"/>
      <c r="L302" s="6"/>
      <c r="Q302" s="58" t="s">
        <v>2181</v>
      </c>
    </row>
    <row r="303" spans="1:17" ht="26.25" hidden="1" customHeight="1" x14ac:dyDescent="0.2">
      <c r="A303" s="6"/>
      <c r="B303" s="6"/>
      <c r="C303" s="10"/>
      <c r="D303" s="11" t="s">
        <v>685</v>
      </c>
      <c r="E303" s="12">
        <v>1</v>
      </c>
      <c r="F303" s="13">
        <v>48.2</v>
      </c>
      <c r="G303" s="13"/>
      <c r="H303" s="13">
        <v>0.9</v>
      </c>
      <c r="I303" s="15">
        <f>ROUND(E303*F303*H303,3)</f>
        <v>43.38</v>
      </c>
      <c r="J303" s="17">
        <f>SUM(I303:I303)</f>
        <v>43.38</v>
      </c>
      <c r="K303" s="6"/>
      <c r="L303" s="6"/>
      <c r="Q303" s="58" t="s">
        <v>2181</v>
      </c>
    </row>
    <row r="304" spans="1:17" ht="15.4" hidden="1" customHeight="1" x14ac:dyDescent="0.2">
      <c r="A304" s="31" t="s">
        <v>686</v>
      </c>
      <c r="B304" s="28"/>
      <c r="C304" s="44" t="s">
        <v>687</v>
      </c>
      <c r="D304" s="44"/>
      <c r="E304" s="44"/>
      <c r="F304" s="44"/>
      <c r="G304" s="44"/>
      <c r="H304" s="44"/>
      <c r="I304" s="44"/>
      <c r="J304" s="28"/>
      <c r="K304" s="29">
        <v>0</v>
      </c>
      <c r="L304" s="29">
        <f>ROUND(K304,2)</f>
        <v>0</v>
      </c>
    </row>
    <row r="305" spans="1:12" ht="15.4" hidden="1" customHeight="1" x14ac:dyDescent="0.2">
      <c r="A305" s="36" t="s">
        <v>688</v>
      </c>
      <c r="B305" s="32"/>
      <c r="C305" s="47" t="s">
        <v>689</v>
      </c>
      <c r="D305" s="47"/>
      <c r="E305" s="47"/>
      <c r="F305" s="47"/>
      <c r="G305" s="47"/>
      <c r="H305" s="47"/>
      <c r="I305" s="47"/>
      <c r="J305" s="32"/>
      <c r="K305" s="33">
        <v>0</v>
      </c>
      <c r="L305" s="33">
        <f>ROUND(K305,2)</f>
        <v>0</v>
      </c>
    </row>
    <row r="306" spans="1:12" ht="15.4" hidden="1" customHeight="1" x14ac:dyDescent="0.2">
      <c r="A306" s="3" t="s">
        <v>690</v>
      </c>
      <c r="B306" s="2" t="s">
        <v>691</v>
      </c>
      <c r="C306" s="45" t="s">
        <v>692</v>
      </c>
      <c r="D306" s="45"/>
      <c r="E306" s="45"/>
      <c r="F306" s="45"/>
      <c r="G306" s="45"/>
      <c r="H306" s="45"/>
      <c r="I306" s="45"/>
      <c r="J306" s="4">
        <f>SUM(J309:J322)</f>
        <v>196.946</v>
      </c>
      <c r="K306" s="5">
        <f>ROUND(0*(1+L2/100),2)</f>
        <v>0</v>
      </c>
      <c r="L306" s="5">
        <f>ROUND(J306*K306,2)</f>
        <v>0</v>
      </c>
    </row>
    <row r="307" spans="1:12" ht="96" hidden="1" customHeight="1" x14ac:dyDescent="0.2">
      <c r="A307" s="6"/>
      <c r="B307" s="6"/>
      <c r="C307" s="45" t="s">
        <v>693</v>
      </c>
      <c r="D307" s="45"/>
      <c r="E307" s="45"/>
      <c r="F307" s="45"/>
      <c r="G307" s="45"/>
      <c r="H307" s="45"/>
      <c r="I307" s="45"/>
      <c r="J307" s="45"/>
      <c r="K307" s="45"/>
      <c r="L307" s="45"/>
    </row>
    <row r="308" spans="1:12" ht="15.2" hidden="1" customHeight="1" x14ac:dyDescent="0.2">
      <c r="A308" s="6"/>
      <c r="B308" s="6"/>
      <c r="C308" s="6"/>
      <c r="D308" s="7"/>
      <c r="E308" s="9" t="s">
        <v>694</v>
      </c>
      <c r="F308" s="9" t="s">
        <v>695</v>
      </c>
      <c r="G308" s="9" t="s">
        <v>696</v>
      </c>
      <c r="H308" s="9" t="s">
        <v>697</v>
      </c>
      <c r="I308" s="9" t="s">
        <v>698</v>
      </c>
      <c r="J308" s="9" t="s">
        <v>699</v>
      </c>
      <c r="K308" s="6"/>
      <c r="L308" s="6"/>
    </row>
    <row r="309" spans="1:12" hidden="1" x14ac:dyDescent="0.2">
      <c r="A309" s="6"/>
      <c r="B309" s="6"/>
      <c r="C309" s="10"/>
      <c r="D309" s="11" t="s">
        <v>700</v>
      </c>
      <c r="E309" s="12"/>
      <c r="F309" s="13"/>
      <c r="G309" s="13"/>
      <c r="H309" s="13"/>
      <c r="I309" s="19" t="s">
        <v>701</v>
      </c>
      <c r="J309" s="18"/>
      <c r="K309" s="6"/>
      <c r="L309" s="6"/>
    </row>
    <row r="310" spans="1:12" ht="22.5" hidden="1" x14ac:dyDescent="0.2">
      <c r="A310" s="6"/>
      <c r="B310" s="6"/>
      <c r="C310" s="10"/>
      <c r="D310" s="2" t="s">
        <v>702</v>
      </c>
      <c r="E310" s="1">
        <v>1</v>
      </c>
      <c r="F310" s="5">
        <v>2.6</v>
      </c>
      <c r="G310" s="5"/>
      <c r="H310" s="5">
        <v>2.6</v>
      </c>
      <c r="I310" s="14">
        <f>ROUND(E310*F310*H310,3)</f>
        <v>6.76</v>
      </c>
      <c r="J310" s="6"/>
      <c r="K310" s="6"/>
      <c r="L310" s="6"/>
    </row>
    <row r="311" spans="1:12" hidden="1" x14ac:dyDescent="0.2">
      <c r="A311" s="6"/>
      <c r="B311" s="6"/>
      <c r="C311" s="10"/>
      <c r="D311" s="2" t="s">
        <v>703</v>
      </c>
      <c r="E311" s="1">
        <v>1</v>
      </c>
      <c r="F311" s="5">
        <v>4.45</v>
      </c>
      <c r="G311" s="5"/>
      <c r="H311" s="5">
        <v>2.6</v>
      </c>
      <c r="I311" s="14">
        <f>ROUND(E311*F311*H311,3)</f>
        <v>11.57</v>
      </c>
      <c r="J311" s="6"/>
      <c r="K311" s="6"/>
      <c r="L311" s="6"/>
    </row>
    <row r="312" spans="1:12" ht="22.5" hidden="1" x14ac:dyDescent="0.2">
      <c r="A312" s="6"/>
      <c r="B312" s="6"/>
      <c r="C312" s="10"/>
      <c r="D312" s="2" t="s">
        <v>704</v>
      </c>
      <c r="E312" s="1">
        <v>1</v>
      </c>
      <c r="F312" s="5">
        <v>2.95</v>
      </c>
      <c r="G312" s="5"/>
      <c r="H312" s="5">
        <v>2.6</v>
      </c>
      <c r="I312" s="14">
        <f>ROUND(E312*F312*H312,3)</f>
        <v>7.67</v>
      </c>
      <c r="J312" s="6"/>
      <c r="K312" s="6"/>
      <c r="L312" s="6"/>
    </row>
    <row r="313" spans="1:12" hidden="1" x14ac:dyDescent="0.2">
      <c r="A313" s="6"/>
      <c r="B313" s="6"/>
      <c r="C313" s="10"/>
      <c r="D313" s="2" t="s">
        <v>705</v>
      </c>
      <c r="E313" s="1">
        <v>1</v>
      </c>
      <c r="F313" s="5">
        <v>4.8499999999999996</v>
      </c>
      <c r="G313" s="5"/>
      <c r="H313" s="5">
        <v>2.6</v>
      </c>
      <c r="I313" s="14">
        <f>ROUND(E313*F313*H313,3)</f>
        <v>12.61</v>
      </c>
      <c r="J313" s="6"/>
      <c r="K313" s="6"/>
      <c r="L313" s="6"/>
    </row>
    <row r="314" spans="1:12" hidden="1" x14ac:dyDescent="0.2">
      <c r="A314" s="6"/>
      <c r="B314" s="6"/>
      <c r="C314" s="10"/>
      <c r="D314" s="2" t="s">
        <v>706</v>
      </c>
      <c r="E314" s="1">
        <v>11.02</v>
      </c>
      <c r="F314" s="5"/>
      <c r="G314" s="5"/>
      <c r="H314" s="5"/>
      <c r="I314" s="14">
        <f>ROUND(E314,3)</f>
        <v>11.02</v>
      </c>
      <c r="J314" s="6"/>
      <c r="K314" s="6"/>
      <c r="L314" s="6"/>
    </row>
    <row r="315" spans="1:12" hidden="1" x14ac:dyDescent="0.2">
      <c r="A315" s="6"/>
      <c r="B315" s="6"/>
      <c r="C315" s="10"/>
      <c r="D315" s="2" t="s">
        <v>707</v>
      </c>
      <c r="E315" s="1">
        <v>7.36</v>
      </c>
      <c r="F315" s="5"/>
      <c r="G315" s="5"/>
      <c r="H315" s="5"/>
      <c r="I315" s="14">
        <f>ROUND(E315,3)</f>
        <v>7.36</v>
      </c>
      <c r="J315" s="6"/>
      <c r="K315" s="6"/>
      <c r="L315" s="6"/>
    </row>
    <row r="316" spans="1:12" hidden="1" x14ac:dyDescent="0.2">
      <c r="A316" s="6"/>
      <c r="B316" s="6"/>
      <c r="C316" s="10"/>
      <c r="D316" s="2" t="s">
        <v>708</v>
      </c>
      <c r="E316" s="1">
        <v>1</v>
      </c>
      <c r="F316" s="5">
        <v>2.1</v>
      </c>
      <c r="G316" s="5"/>
      <c r="H316" s="5">
        <v>2.6</v>
      </c>
      <c r="I316" s="14">
        <f>ROUND(E316*F316*H316,3)</f>
        <v>5.46</v>
      </c>
      <c r="J316" s="6"/>
      <c r="K316" s="6"/>
      <c r="L316" s="6"/>
    </row>
    <row r="317" spans="1:12" hidden="1" x14ac:dyDescent="0.2">
      <c r="A317" s="6"/>
      <c r="B317" s="6"/>
      <c r="C317" s="10"/>
      <c r="D317" s="2" t="s">
        <v>709</v>
      </c>
      <c r="E317" s="1"/>
      <c r="F317" s="5"/>
      <c r="G317" s="5"/>
      <c r="H317" s="5"/>
      <c r="I317" s="8" t="s">
        <v>710</v>
      </c>
      <c r="J317" s="6"/>
      <c r="K317" s="6"/>
      <c r="L317" s="6"/>
    </row>
    <row r="318" spans="1:12" hidden="1" x14ac:dyDescent="0.2">
      <c r="A318" s="6"/>
      <c r="B318" s="6"/>
      <c r="C318" s="10"/>
      <c r="D318" s="2" t="s">
        <v>711</v>
      </c>
      <c r="E318" s="1">
        <v>1</v>
      </c>
      <c r="F318" s="5">
        <v>9.83</v>
      </c>
      <c r="G318" s="5"/>
      <c r="H318" s="5">
        <v>2.7</v>
      </c>
      <c r="I318" s="14">
        <f>ROUND(E318*F318*H318,3)</f>
        <v>26.541</v>
      </c>
      <c r="J318" s="6"/>
      <c r="K318" s="6"/>
      <c r="L318" s="6"/>
    </row>
    <row r="319" spans="1:12" hidden="1" x14ac:dyDescent="0.2">
      <c r="A319" s="6"/>
      <c r="B319" s="6"/>
      <c r="C319" s="10"/>
      <c r="D319" s="2" t="s">
        <v>712</v>
      </c>
      <c r="E319" s="1">
        <v>1</v>
      </c>
      <c r="F319" s="5">
        <v>8.85</v>
      </c>
      <c r="G319" s="5"/>
      <c r="H319" s="5">
        <v>2.7</v>
      </c>
      <c r="I319" s="14">
        <f>ROUND(E319*F319*H319,3)</f>
        <v>23.895</v>
      </c>
      <c r="J319" s="6"/>
      <c r="K319" s="6"/>
      <c r="L319" s="6"/>
    </row>
    <row r="320" spans="1:12" hidden="1" x14ac:dyDescent="0.2">
      <c r="A320" s="6"/>
      <c r="B320" s="6"/>
      <c r="C320" s="10"/>
      <c r="D320" s="2" t="s">
        <v>713</v>
      </c>
      <c r="E320" s="1">
        <v>1</v>
      </c>
      <c r="F320" s="5">
        <v>9.83</v>
      </c>
      <c r="G320" s="5"/>
      <c r="H320" s="5">
        <v>2.7</v>
      </c>
      <c r="I320" s="14">
        <f>ROUND(E320*F320*H320,3)</f>
        <v>26.541</v>
      </c>
      <c r="J320" s="6"/>
      <c r="K320" s="6"/>
      <c r="L320" s="6"/>
    </row>
    <row r="321" spans="1:12" hidden="1" x14ac:dyDescent="0.2">
      <c r="A321" s="6"/>
      <c r="B321" s="6"/>
      <c r="C321" s="10"/>
      <c r="D321" s="2" t="s">
        <v>714</v>
      </c>
      <c r="E321" s="1">
        <v>1</v>
      </c>
      <c r="F321" s="5">
        <v>8.85</v>
      </c>
      <c r="G321" s="5"/>
      <c r="H321" s="5">
        <v>2.7</v>
      </c>
      <c r="I321" s="14">
        <f>ROUND(E321*F321*H321,3)</f>
        <v>23.895</v>
      </c>
      <c r="J321" s="6"/>
      <c r="K321" s="6"/>
      <c r="L321" s="6"/>
    </row>
    <row r="322" spans="1:12" hidden="1" x14ac:dyDescent="0.2">
      <c r="A322" s="6"/>
      <c r="B322" s="6"/>
      <c r="C322" s="10"/>
      <c r="D322" s="2" t="s">
        <v>715</v>
      </c>
      <c r="E322" s="1">
        <v>1</v>
      </c>
      <c r="F322" s="5">
        <v>37.36</v>
      </c>
      <c r="G322" s="5"/>
      <c r="H322" s="5">
        <v>0.9</v>
      </c>
      <c r="I322" s="14">
        <f>ROUND(E322*F322*H322,3)</f>
        <v>33.624000000000002</v>
      </c>
      <c r="J322" s="16">
        <f>SUM(I309:I322)</f>
        <v>196.946</v>
      </c>
      <c r="K322" s="6"/>
      <c r="L322" s="6"/>
    </row>
    <row r="323" spans="1:12" ht="15.4" hidden="1" customHeight="1" x14ac:dyDescent="0.2">
      <c r="A323" s="3" t="s">
        <v>716</v>
      </c>
      <c r="B323" s="2" t="s">
        <v>717</v>
      </c>
      <c r="C323" s="45" t="s">
        <v>718</v>
      </c>
      <c r="D323" s="45"/>
      <c r="E323" s="45"/>
      <c r="F323" s="45"/>
      <c r="G323" s="45"/>
      <c r="H323" s="45"/>
      <c r="I323" s="45"/>
      <c r="J323" s="4">
        <f>SUM(J326:J339)</f>
        <v>196.946</v>
      </c>
      <c r="K323" s="5">
        <f>ROUND(0*(1+L2/100),2)</f>
        <v>0</v>
      </c>
      <c r="L323" s="5">
        <f>ROUND(J323*K323,2)</f>
        <v>0</v>
      </c>
    </row>
    <row r="324" spans="1:12" ht="75" hidden="1" customHeight="1" x14ac:dyDescent="0.2">
      <c r="A324" s="6"/>
      <c r="B324" s="6"/>
      <c r="C324" s="45" t="s">
        <v>719</v>
      </c>
      <c r="D324" s="45"/>
      <c r="E324" s="45"/>
      <c r="F324" s="45"/>
      <c r="G324" s="45"/>
      <c r="H324" s="45"/>
      <c r="I324" s="45"/>
      <c r="J324" s="45"/>
      <c r="K324" s="45"/>
      <c r="L324" s="45"/>
    </row>
    <row r="325" spans="1:12" ht="15.2" hidden="1" customHeight="1" x14ac:dyDescent="0.2">
      <c r="A325" s="6"/>
      <c r="B325" s="6"/>
      <c r="C325" s="6"/>
      <c r="D325" s="7"/>
      <c r="E325" s="9" t="s">
        <v>720</v>
      </c>
      <c r="F325" s="9" t="s">
        <v>721</v>
      </c>
      <c r="G325" s="9" t="s">
        <v>722</v>
      </c>
      <c r="H325" s="9" t="s">
        <v>723</v>
      </c>
      <c r="I325" s="9" t="s">
        <v>724</v>
      </c>
      <c r="J325" s="9" t="s">
        <v>725</v>
      </c>
      <c r="K325" s="6"/>
      <c r="L325" s="6"/>
    </row>
    <row r="326" spans="1:12" hidden="1" x14ac:dyDescent="0.2">
      <c r="A326" s="6"/>
      <c r="B326" s="6"/>
      <c r="C326" s="10"/>
      <c r="D326" s="11" t="s">
        <v>726</v>
      </c>
      <c r="E326" s="12"/>
      <c r="F326" s="13"/>
      <c r="G326" s="13"/>
      <c r="H326" s="13"/>
      <c r="I326" s="19" t="s">
        <v>727</v>
      </c>
      <c r="J326" s="18"/>
      <c r="K326" s="6"/>
      <c r="L326" s="6"/>
    </row>
    <row r="327" spans="1:12" ht="22.5" hidden="1" x14ac:dyDescent="0.2">
      <c r="A327" s="6"/>
      <c r="B327" s="6"/>
      <c r="C327" s="10"/>
      <c r="D327" s="2" t="s">
        <v>728</v>
      </c>
      <c r="E327" s="1">
        <v>1</v>
      </c>
      <c r="F327" s="5">
        <v>2.6</v>
      </c>
      <c r="G327" s="5"/>
      <c r="H327" s="5">
        <v>2.6</v>
      </c>
      <c r="I327" s="14">
        <f>ROUND(E327*F327*H327,3)</f>
        <v>6.76</v>
      </c>
      <c r="J327" s="6"/>
      <c r="K327" s="6"/>
      <c r="L327" s="6"/>
    </row>
    <row r="328" spans="1:12" hidden="1" x14ac:dyDescent="0.2">
      <c r="A328" s="6"/>
      <c r="B328" s="6"/>
      <c r="C328" s="10"/>
      <c r="D328" s="2" t="s">
        <v>729</v>
      </c>
      <c r="E328" s="1">
        <v>1</v>
      </c>
      <c r="F328" s="5">
        <v>4.45</v>
      </c>
      <c r="G328" s="5"/>
      <c r="H328" s="5">
        <v>2.6</v>
      </c>
      <c r="I328" s="14">
        <f>ROUND(E328*F328*H328,3)</f>
        <v>11.57</v>
      </c>
      <c r="J328" s="6"/>
      <c r="K328" s="6"/>
      <c r="L328" s="6"/>
    </row>
    <row r="329" spans="1:12" ht="22.5" hidden="1" x14ac:dyDescent="0.2">
      <c r="A329" s="6"/>
      <c r="B329" s="6"/>
      <c r="C329" s="10"/>
      <c r="D329" s="2" t="s">
        <v>730</v>
      </c>
      <c r="E329" s="1">
        <v>1</v>
      </c>
      <c r="F329" s="5">
        <v>2.95</v>
      </c>
      <c r="G329" s="5"/>
      <c r="H329" s="5">
        <v>2.6</v>
      </c>
      <c r="I329" s="14">
        <f>ROUND(E329*F329*H329,3)</f>
        <v>7.67</v>
      </c>
      <c r="J329" s="6"/>
      <c r="K329" s="6"/>
      <c r="L329" s="6"/>
    </row>
    <row r="330" spans="1:12" hidden="1" x14ac:dyDescent="0.2">
      <c r="A330" s="6"/>
      <c r="B330" s="6"/>
      <c r="C330" s="10"/>
      <c r="D330" s="2" t="s">
        <v>731</v>
      </c>
      <c r="E330" s="1">
        <v>1</v>
      </c>
      <c r="F330" s="5">
        <v>4.8499999999999996</v>
      </c>
      <c r="G330" s="5"/>
      <c r="H330" s="5">
        <v>2.6</v>
      </c>
      <c r="I330" s="14">
        <f>ROUND(E330*F330*H330,3)</f>
        <v>12.61</v>
      </c>
      <c r="J330" s="6"/>
      <c r="K330" s="6"/>
      <c r="L330" s="6"/>
    </row>
    <row r="331" spans="1:12" hidden="1" x14ac:dyDescent="0.2">
      <c r="A331" s="6"/>
      <c r="B331" s="6"/>
      <c r="C331" s="10"/>
      <c r="D331" s="2" t="s">
        <v>732</v>
      </c>
      <c r="E331" s="1">
        <v>11.02</v>
      </c>
      <c r="F331" s="5"/>
      <c r="G331" s="5"/>
      <c r="H331" s="5"/>
      <c r="I331" s="14">
        <f>ROUND(E331,3)</f>
        <v>11.02</v>
      </c>
      <c r="J331" s="6"/>
      <c r="K331" s="6"/>
      <c r="L331" s="6"/>
    </row>
    <row r="332" spans="1:12" hidden="1" x14ac:dyDescent="0.2">
      <c r="A332" s="6"/>
      <c r="B332" s="6"/>
      <c r="C332" s="10"/>
      <c r="D332" s="2" t="s">
        <v>733</v>
      </c>
      <c r="E332" s="1">
        <v>7.36</v>
      </c>
      <c r="F332" s="5"/>
      <c r="G332" s="5"/>
      <c r="H332" s="5"/>
      <c r="I332" s="14">
        <f>ROUND(E332,3)</f>
        <v>7.36</v>
      </c>
      <c r="J332" s="6"/>
      <c r="K332" s="6"/>
      <c r="L332" s="6"/>
    </row>
    <row r="333" spans="1:12" hidden="1" x14ac:dyDescent="0.2">
      <c r="A333" s="6"/>
      <c r="B333" s="6"/>
      <c r="C333" s="10"/>
      <c r="D333" s="2" t="s">
        <v>734</v>
      </c>
      <c r="E333" s="1">
        <v>1</v>
      </c>
      <c r="F333" s="5">
        <v>2.1</v>
      </c>
      <c r="G333" s="5"/>
      <c r="H333" s="5">
        <v>2.6</v>
      </c>
      <c r="I333" s="14">
        <f>ROUND(E333*F333*H333,3)</f>
        <v>5.46</v>
      </c>
      <c r="J333" s="6"/>
      <c r="K333" s="6"/>
      <c r="L333" s="6"/>
    </row>
    <row r="334" spans="1:12" hidden="1" x14ac:dyDescent="0.2">
      <c r="A334" s="6"/>
      <c r="B334" s="6"/>
      <c r="C334" s="10"/>
      <c r="D334" s="2" t="s">
        <v>735</v>
      </c>
      <c r="E334" s="1"/>
      <c r="F334" s="5"/>
      <c r="G334" s="5"/>
      <c r="H334" s="5"/>
      <c r="I334" s="8" t="s">
        <v>736</v>
      </c>
      <c r="J334" s="6"/>
      <c r="K334" s="6"/>
      <c r="L334" s="6"/>
    </row>
    <row r="335" spans="1:12" hidden="1" x14ac:dyDescent="0.2">
      <c r="A335" s="6"/>
      <c r="B335" s="6"/>
      <c r="C335" s="10"/>
      <c r="D335" s="2" t="s">
        <v>737</v>
      </c>
      <c r="E335" s="1">
        <v>1</v>
      </c>
      <c r="F335" s="5">
        <v>9.83</v>
      </c>
      <c r="G335" s="5"/>
      <c r="H335" s="5">
        <v>2.7</v>
      </c>
      <c r="I335" s="14">
        <f>ROUND(E335*F335*H335,3)</f>
        <v>26.541</v>
      </c>
      <c r="J335" s="6"/>
      <c r="K335" s="6"/>
      <c r="L335" s="6"/>
    </row>
    <row r="336" spans="1:12" hidden="1" x14ac:dyDescent="0.2">
      <c r="A336" s="6"/>
      <c r="B336" s="6"/>
      <c r="C336" s="10"/>
      <c r="D336" s="2" t="s">
        <v>738</v>
      </c>
      <c r="E336" s="1">
        <v>1</v>
      </c>
      <c r="F336" s="5">
        <v>8.85</v>
      </c>
      <c r="G336" s="5"/>
      <c r="H336" s="5">
        <v>2.7</v>
      </c>
      <c r="I336" s="14">
        <f>ROUND(E336*F336*H336,3)</f>
        <v>23.895</v>
      </c>
      <c r="J336" s="6"/>
      <c r="K336" s="6"/>
      <c r="L336" s="6"/>
    </row>
    <row r="337" spans="1:18" hidden="1" x14ac:dyDescent="0.2">
      <c r="A337" s="6"/>
      <c r="B337" s="6"/>
      <c r="C337" s="10"/>
      <c r="D337" s="2" t="s">
        <v>739</v>
      </c>
      <c r="E337" s="1">
        <v>1</v>
      </c>
      <c r="F337" s="5">
        <v>9.83</v>
      </c>
      <c r="G337" s="5"/>
      <c r="H337" s="5">
        <v>2.7</v>
      </c>
      <c r="I337" s="14">
        <f>ROUND(E337*F337*H337,3)</f>
        <v>26.541</v>
      </c>
      <c r="J337" s="6"/>
      <c r="K337" s="6"/>
      <c r="L337" s="6"/>
    </row>
    <row r="338" spans="1:18" hidden="1" x14ac:dyDescent="0.2">
      <c r="A338" s="6"/>
      <c r="B338" s="6"/>
      <c r="C338" s="10"/>
      <c r="D338" s="2" t="s">
        <v>740</v>
      </c>
      <c r="E338" s="1">
        <v>1</v>
      </c>
      <c r="F338" s="5">
        <v>8.85</v>
      </c>
      <c r="G338" s="5"/>
      <c r="H338" s="5">
        <v>2.7</v>
      </c>
      <c r="I338" s="14">
        <f>ROUND(E338*F338*H338,3)</f>
        <v>23.895</v>
      </c>
      <c r="J338" s="6"/>
      <c r="K338" s="6"/>
      <c r="L338" s="6"/>
    </row>
    <row r="339" spans="1:18" hidden="1" x14ac:dyDescent="0.2">
      <c r="A339" s="6"/>
      <c r="B339" s="6"/>
      <c r="C339" s="10"/>
      <c r="D339" s="2" t="s">
        <v>741</v>
      </c>
      <c r="E339" s="1">
        <v>1</v>
      </c>
      <c r="F339" s="5">
        <v>37.36</v>
      </c>
      <c r="G339" s="5"/>
      <c r="H339" s="5">
        <v>0.9</v>
      </c>
      <c r="I339" s="14">
        <f>ROUND(E339*F339*H339,3)</f>
        <v>33.624000000000002</v>
      </c>
      <c r="J339" s="16">
        <f>SUM(I326:I339)</f>
        <v>196.946</v>
      </c>
      <c r="K339" s="6"/>
      <c r="L339" s="6"/>
    </row>
    <row r="340" spans="1:18" ht="15.4" hidden="1" customHeight="1" x14ac:dyDescent="0.2">
      <c r="A340" s="3" t="s">
        <v>742</v>
      </c>
      <c r="B340" s="2" t="s">
        <v>743</v>
      </c>
      <c r="C340" s="45" t="s">
        <v>744</v>
      </c>
      <c r="D340" s="45"/>
      <c r="E340" s="45"/>
      <c r="F340" s="45"/>
      <c r="G340" s="45"/>
      <c r="H340" s="45"/>
      <c r="I340" s="45"/>
      <c r="J340" s="4">
        <f>SUM(J343:J345)</f>
        <v>13.716999999999999</v>
      </c>
      <c r="K340" s="5">
        <f>ROUND(0*(1+L2/100),2)</f>
        <v>0</v>
      </c>
      <c r="L340" s="5">
        <f>ROUND(J340*K340,2)</f>
        <v>0</v>
      </c>
    </row>
    <row r="341" spans="1:18" ht="76.5" hidden="1" customHeight="1" x14ac:dyDescent="0.2">
      <c r="A341" s="6"/>
      <c r="B341" s="6"/>
      <c r="C341" s="45" t="s">
        <v>745</v>
      </c>
      <c r="D341" s="45"/>
      <c r="E341" s="45"/>
      <c r="F341" s="45"/>
      <c r="G341" s="45"/>
      <c r="H341" s="45"/>
      <c r="I341" s="45"/>
      <c r="J341" s="45"/>
      <c r="K341" s="45"/>
      <c r="L341" s="45"/>
    </row>
    <row r="342" spans="1:18" hidden="1" x14ac:dyDescent="0.2">
      <c r="A342" s="6"/>
      <c r="B342" s="6"/>
      <c r="C342" s="6"/>
      <c r="D342" s="7"/>
      <c r="E342" s="9" t="s">
        <v>746</v>
      </c>
      <c r="F342" s="9" t="s">
        <v>747</v>
      </c>
      <c r="G342" s="9" t="s">
        <v>748</v>
      </c>
      <c r="H342" s="9" t="s">
        <v>749</v>
      </c>
      <c r="I342" s="9" t="s">
        <v>750</v>
      </c>
      <c r="J342" s="9" t="s">
        <v>751</v>
      </c>
      <c r="K342" s="6"/>
      <c r="L342" s="6"/>
    </row>
    <row r="343" spans="1:18" ht="33.75" hidden="1" x14ac:dyDescent="0.2">
      <c r="A343" s="6"/>
      <c r="B343" s="6"/>
      <c r="C343" s="10"/>
      <c r="D343" s="11" t="s">
        <v>752</v>
      </c>
      <c r="E343" s="12">
        <v>1</v>
      </c>
      <c r="F343" s="13">
        <v>2.0699999999999998</v>
      </c>
      <c r="G343" s="13"/>
      <c r="H343" s="13">
        <v>2.6</v>
      </c>
      <c r="I343" s="15">
        <f>ROUND(E343*F343*H343,3)</f>
        <v>5.3819999999999997</v>
      </c>
      <c r="J343" s="18"/>
      <c r="K343" s="6"/>
      <c r="L343" s="6"/>
    </row>
    <row r="344" spans="1:18" ht="22.5" hidden="1" x14ac:dyDescent="0.2">
      <c r="A344" s="6"/>
      <c r="B344" s="6"/>
      <c r="C344" s="10"/>
      <c r="D344" s="2" t="s">
        <v>753</v>
      </c>
      <c r="E344" s="1">
        <v>1</v>
      </c>
      <c r="F344" s="5">
        <v>1.45</v>
      </c>
      <c r="G344" s="5"/>
      <c r="H344" s="5">
        <v>2.2999999999999998</v>
      </c>
      <c r="I344" s="14">
        <f>ROUND(E344*F344*H344,3)</f>
        <v>3.335</v>
      </c>
      <c r="J344" s="6"/>
      <c r="K344" s="6"/>
      <c r="L344" s="6"/>
    </row>
    <row r="345" spans="1:18" ht="22.5" hidden="1" x14ac:dyDescent="0.2">
      <c r="A345" s="6"/>
      <c r="B345" s="6"/>
      <c r="C345" s="10"/>
      <c r="D345" s="2" t="s">
        <v>754</v>
      </c>
      <c r="E345" s="1">
        <v>1</v>
      </c>
      <c r="F345" s="5">
        <v>2</v>
      </c>
      <c r="G345" s="5"/>
      <c r="H345" s="5">
        <v>2.5</v>
      </c>
      <c r="I345" s="14">
        <f>ROUND(E345*F345*H345,3)</f>
        <v>5</v>
      </c>
      <c r="J345" s="16">
        <f>SUM(I343:I345)</f>
        <v>13.716999999999999</v>
      </c>
      <c r="K345" s="6"/>
      <c r="L345" s="6"/>
    </row>
    <row r="346" spans="1:18" hidden="1" x14ac:dyDescent="0.2">
      <c r="A346" s="37" t="s">
        <v>755</v>
      </c>
      <c r="B346" s="34"/>
      <c r="C346" s="46" t="s">
        <v>756</v>
      </c>
      <c r="D346" s="46"/>
      <c r="E346" s="46"/>
      <c r="F346" s="46"/>
      <c r="G346" s="46"/>
      <c r="H346" s="46"/>
      <c r="I346" s="46"/>
      <c r="J346" s="34"/>
      <c r="K346" s="35">
        <v>0</v>
      </c>
      <c r="L346" s="35">
        <f>ROUND(K346,2)</f>
        <v>0</v>
      </c>
      <c r="O346" s="58" t="s">
        <v>2179</v>
      </c>
      <c r="R346" s="58" t="s">
        <v>2182</v>
      </c>
    </row>
    <row r="347" spans="1:18" ht="15.4" hidden="1" customHeight="1" x14ac:dyDescent="0.2">
      <c r="A347" s="3" t="s">
        <v>757</v>
      </c>
      <c r="B347" s="2" t="s">
        <v>758</v>
      </c>
      <c r="C347" s="45" t="s">
        <v>759</v>
      </c>
      <c r="D347" s="45"/>
      <c r="E347" s="45"/>
      <c r="F347" s="45"/>
      <c r="G347" s="45"/>
      <c r="H347" s="45"/>
      <c r="I347" s="45"/>
      <c r="J347" s="4">
        <f>SUM(J350:J352)</f>
        <v>70.5</v>
      </c>
      <c r="K347" s="5">
        <f>ROUND(0*(1+L2/100),2)</f>
        <v>0</v>
      </c>
      <c r="L347" s="5">
        <f>ROUND(J347*K347,2)</f>
        <v>0</v>
      </c>
      <c r="O347" s="58" t="s">
        <v>2179</v>
      </c>
      <c r="R347" s="58" t="s">
        <v>2182</v>
      </c>
    </row>
    <row r="348" spans="1:18" ht="40.5" hidden="1" customHeight="1" x14ac:dyDescent="0.2">
      <c r="A348" s="6"/>
      <c r="B348" s="6"/>
      <c r="C348" s="45" t="s">
        <v>760</v>
      </c>
      <c r="D348" s="45"/>
      <c r="E348" s="45"/>
      <c r="F348" s="45"/>
      <c r="G348" s="45"/>
      <c r="H348" s="45"/>
      <c r="I348" s="45"/>
      <c r="J348" s="45"/>
      <c r="K348" s="45"/>
      <c r="L348" s="45"/>
      <c r="O348" s="58" t="s">
        <v>2179</v>
      </c>
      <c r="R348" s="58" t="s">
        <v>2182</v>
      </c>
    </row>
    <row r="349" spans="1:18" ht="15.2" hidden="1" customHeight="1" x14ac:dyDescent="0.2">
      <c r="A349" s="6"/>
      <c r="B349" s="6"/>
      <c r="C349" s="6"/>
      <c r="D349" s="7"/>
      <c r="E349" s="9" t="s">
        <v>761</v>
      </c>
      <c r="F349" s="9" t="s">
        <v>762</v>
      </c>
      <c r="G349" s="9" t="s">
        <v>763</v>
      </c>
      <c r="H349" s="9" t="s">
        <v>764</v>
      </c>
      <c r="I349" s="9" t="s">
        <v>765</v>
      </c>
      <c r="J349" s="9" t="s">
        <v>766</v>
      </c>
      <c r="K349" s="6"/>
      <c r="L349" s="6"/>
      <c r="O349" s="58" t="s">
        <v>2179</v>
      </c>
      <c r="R349" s="58" t="s">
        <v>2182</v>
      </c>
    </row>
    <row r="350" spans="1:18" hidden="1" x14ac:dyDescent="0.2">
      <c r="A350" s="6"/>
      <c r="B350" s="6"/>
      <c r="C350" s="10"/>
      <c r="D350" s="11" t="s">
        <v>767</v>
      </c>
      <c r="E350" s="12"/>
      <c r="F350" s="13"/>
      <c r="G350" s="13"/>
      <c r="H350" s="13"/>
      <c r="I350" s="19" t="s">
        <v>768</v>
      </c>
      <c r="J350" s="18"/>
      <c r="K350" s="6"/>
      <c r="L350" s="6"/>
      <c r="O350" s="58" t="s">
        <v>2179</v>
      </c>
      <c r="R350" s="58" t="s">
        <v>2182</v>
      </c>
    </row>
    <row r="351" spans="1:18" ht="22.5" hidden="1" x14ac:dyDescent="0.2">
      <c r="A351" s="6"/>
      <c r="B351" s="6"/>
      <c r="C351" s="10"/>
      <c r="D351" s="2" t="s">
        <v>769</v>
      </c>
      <c r="E351" s="1">
        <v>1</v>
      </c>
      <c r="F351" s="5">
        <v>31</v>
      </c>
      <c r="G351" s="5"/>
      <c r="H351" s="5"/>
      <c r="I351" s="14">
        <f>ROUND(E351*F351,3)</f>
        <v>31</v>
      </c>
      <c r="J351" s="6"/>
      <c r="K351" s="6"/>
      <c r="L351" s="6"/>
      <c r="O351" s="58" t="s">
        <v>2179</v>
      </c>
      <c r="R351" s="58" t="s">
        <v>2182</v>
      </c>
    </row>
    <row r="352" spans="1:18" ht="22.5" hidden="1" x14ac:dyDescent="0.2">
      <c r="A352" s="6"/>
      <c r="B352" s="6"/>
      <c r="C352" s="10"/>
      <c r="D352" s="2" t="s">
        <v>770</v>
      </c>
      <c r="E352" s="1">
        <v>1</v>
      </c>
      <c r="F352" s="5">
        <v>39.5</v>
      </c>
      <c r="G352" s="5"/>
      <c r="H352" s="5"/>
      <c r="I352" s="14">
        <f>ROUND(E352*F352,3)</f>
        <v>39.5</v>
      </c>
      <c r="J352" s="16">
        <f>SUM(I350:I352)</f>
        <v>70.5</v>
      </c>
      <c r="K352" s="6"/>
      <c r="L352" s="6"/>
      <c r="O352" s="58" t="s">
        <v>2179</v>
      </c>
      <c r="R352" s="58" t="s">
        <v>2182</v>
      </c>
    </row>
    <row r="353" spans="1:19" ht="15.4" hidden="1" customHeight="1" x14ac:dyDescent="0.2">
      <c r="A353" s="37" t="s">
        <v>771</v>
      </c>
      <c r="B353" s="34"/>
      <c r="C353" s="46" t="s">
        <v>772</v>
      </c>
      <c r="D353" s="46"/>
      <c r="E353" s="46"/>
      <c r="F353" s="46"/>
      <c r="G353" s="46"/>
      <c r="H353" s="46"/>
      <c r="I353" s="46"/>
      <c r="J353" s="34"/>
      <c r="K353" s="35">
        <v>0</v>
      </c>
      <c r="L353" s="35">
        <f>ROUND(K353,2)</f>
        <v>0</v>
      </c>
      <c r="S353" s="58" t="s">
        <v>2183</v>
      </c>
    </row>
    <row r="354" spans="1:19" ht="15.4" hidden="1" customHeight="1" x14ac:dyDescent="0.2">
      <c r="A354" s="3" t="s">
        <v>773</v>
      </c>
      <c r="B354" s="2" t="s">
        <v>774</v>
      </c>
      <c r="C354" s="45" t="s">
        <v>775</v>
      </c>
      <c r="D354" s="45"/>
      <c r="E354" s="45"/>
      <c r="F354" s="45"/>
      <c r="G354" s="45"/>
      <c r="H354" s="45"/>
      <c r="I354" s="45"/>
      <c r="J354" s="4">
        <f>SUM(J357:J361)</f>
        <v>68.742000000000004</v>
      </c>
      <c r="K354" s="5">
        <f>ROUND(0*(1+L2/100),2)</f>
        <v>0</v>
      </c>
      <c r="L354" s="5">
        <f>ROUND(J354*K354,2)</f>
        <v>0</v>
      </c>
      <c r="S354" s="58" t="s">
        <v>2183</v>
      </c>
    </row>
    <row r="355" spans="1:19" ht="132.75" hidden="1" customHeight="1" x14ac:dyDescent="0.2">
      <c r="A355" s="6"/>
      <c r="B355" s="6"/>
      <c r="C355" s="45" t="s">
        <v>776</v>
      </c>
      <c r="D355" s="45"/>
      <c r="E355" s="45"/>
      <c r="F355" s="45"/>
      <c r="G355" s="45"/>
      <c r="H355" s="45"/>
      <c r="I355" s="45"/>
      <c r="J355" s="45"/>
      <c r="K355" s="45"/>
      <c r="L355" s="45"/>
      <c r="S355" s="58" t="s">
        <v>2183</v>
      </c>
    </row>
    <row r="356" spans="1:19" ht="15.2" hidden="1" customHeight="1" x14ac:dyDescent="0.2">
      <c r="A356" s="6"/>
      <c r="B356" s="6"/>
      <c r="C356" s="6"/>
      <c r="D356" s="7"/>
      <c r="E356" s="9" t="s">
        <v>777</v>
      </c>
      <c r="F356" s="9" t="s">
        <v>778</v>
      </c>
      <c r="G356" s="9" t="s">
        <v>779</v>
      </c>
      <c r="H356" s="9" t="s">
        <v>780</v>
      </c>
      <c r="I356" s="9" t="s">
        <v>781</v>
      </c>
      <c r="J356" s="9" t="s">
        <v>782</v>
      </c>
      <c r="K356" s="6"/>
      <c r="L356" s="6"/>
      <c r="S356" s="58" t="s">
        <v>2183</v>
      </c>
    </row>
    <row r="357" spans="1:19" hidden="1" x14ac:dyDescent="0.2">
      <c r="A357" s="6"/>
      <c r="B357" s="6"/>
      <c r="C357" s="10"/>
      <c r="D357" s="11" t="s">
        <v>783</v>
      </c>
      <c r="E357" s="12"/>
      <c r="F357" s="13"/>
      <c r="G357" s="13"/>
      <c r="H357" s="13"/>
      <c r="I357" s="19" t="s">
        <v>784</v>
      </c>
      <c r="J357" s="18"/>
      <c r="K357" s="6"/>
      <c r="L357" s="6"/>
      <c r="S357" s="58" t="s">
        <v>2183</v>
      </c>
    </row>
    <row r="358" spans="1:19" hidden="1" x14ac:dyDescent="0.2">
      <c r="A358" s="6"/>
      <c r="B358" s="6"/>
      <c r="C358" s="10"/>
      <c r="D358" s="2" t="s">
        <v>785</v>
      </c>
      <c r="E358" s="1">
        <v>1</v>
      </c>
      <c r="F358" s="5">
        <v>4.05</v>
      </c>
      <c r="G358" s="5"/>
      <c r="H358" s="5">
        <v>2.6</v>
      </c>
      <c r="I358" s="14">
        <f>ROUND(E358*F358*H358,3)</f>
        <v>10.53</v>
      </c>
      <c r="J358" s="6"/>
      <c r="K358" s="6"/>
      <c r="L358" s="6"/>
      <c r="S358" s="58" t="s">
        <v>2183</v>
      </c>
    </row>
    <row r="359" spans="1:19" ht="22.5" hidden="1" x14ac:dyDescent="0.2">
      <c r="A359" s="6"/>
      <c r="B359" s="6"/>
      <c r="C359" s="10"/>
      <c r="D359" s="2" t="s">
        <v>786</v>
      </c>
      <c r="E359" s="1">
        <v>1</v>
      </c>
      <c r="F359" s="5">
        <v>8.4499999999999993</v>
      </c>
      <c r="G359" s="5"/>
      <c r="H359" s="5">
        <v>2.7</v>
      </c>
      <c r="I359" s="14">
        <f>ROUND(E359*F359*H359,3)</f>
        <v>22.815000000000001</v>
      </c>
      <c r="J359" s="6"/>
      <c r="K359" s="6"/>
      <c r="L359" s="6"/>
      <c r="S359" s="58" t="s">
        <v>2183</v>
      </c>
    </row>
    <row r="360" spans="1:19" hidden="1" x14ac:dyDescent="0.2">
      <c r="A360" s="6"/>
      <c r="B360" s="6"/>
      <c r="C360" s="10"/>
      <c r="D360" s="2" t="s">
        <v>787</v>
      </c>
      <c r="E360" s="1">
        <v>1</v>
      </c>
      <c r="F360" s="5">
        <v>7.71</v>
      </c>
      <c r="G360" s="5"/>
      <c r="H360" s="5">
        <v>2.7</v>
      </c>
      <c r="I360" s="14">
        <f>ROUND(E360*F360*H360,3)</f>
        <v>20.817</v>
      </c>
      <c r="J360" s="6"/>
      <c r="K360" s="6"/>
      <c r="L360" s="6"/>
      <c r="S360" s="58" t="s">
        <v>2183</v>
      </c>
    </row>
    <row r="361" spans="1:19" hidden="1" x14ac:dyDescent="0.2">
      <c r="A361" s="6"/>
      <c r="B361" s="6"/>
      <c r="C361" s="10"/>
      <c r="D361" s="2" t="s">
        <v>788</v>
      </c>
      <c r="E361" s="1">
        <v>1</v>
      </c>
      <c r="F361" s="5">
        <v>5.4</v>
      </c>
      <c r="G361" s="5"/>
      <c r="H361" s="5">
        <v>2.7</v>
      </c>
      <c r="I361" s="14">
        <f>ROUND(E361*F361*H361,3)</f>
        <v>14.58</v>
      </c>
      <c r="J361" s="16">
        <f>SUM(I357:I361)</f>
        <v>68.742000000000004</v>
      </c>
      <c r="K361" s="6"/>
      <c r="L361" s="6"/>
      <c r="S361" s="58" t="s">
        <v>2183</v>
      </c>
    </row>
    <row r="362" spans="1:19" ht="15.4" hidden="1" customHeight="1" x14ac:dyDescent="0.2">
      <c r="A362" s="3" t="s">
        <v>789</v>
      </c>
      <c r="B362" s="2" t="s">
        <v>790</v>
      </c>
      <c r="C362" s="45" t="s">
        <v>791</v>
      </c>
      <c r="D362" s="45"/>
      <c r="E362" s="45"/>
      <c r="F362" s="45"/>
      <c r="G362" s="45"/>
      <c r="H362" s="45"/>
      <c r="I362" s="45"/>
      <c r="J362" s="4">
        <f>SUM(J365:J366)</f>
        <v>49.825000000000003</v>
      </c>
      <c r="K362" s="5">
        <f>ROUND(0*(1+L2/100),2)</f>
        <v>0</v>
      </c>
      <c r="L362" s="5">
        <f>ROUND(J362*K362,2)</f>
        <v>0</v>
      </c>
      <c r="S362" s="58" t="s">
        <v>2183</v>
      </c>
    </row>
    <row r="363" spans="1:19" ht="132.75" hidden="1" customHeight="1" x14ac:dyDescent="0.2">
      <c r="A363" s="6"/>
      <c r="B363" s="6"/>
      <c r="C363" s="45" t="s">
        <v>792</v>
      </c>
      <c r="D363" s="45"/>
      <c r="E363" s="45"/>
      <c r="F363" s="45"/>
      <c r="G363" s="45"/>
      <c r="H363" s="45"/>
      <c r="I363" s="45"/>
      <c r="J363" s="45"/>
      <c r="K363" s="45"/>
      <c r="L363" s="45"/>
      <c r="S363" s="58" t="s">
        <v>2183</v>
      </c>
    </row>
    <row r="364" spans="1:19" ht="15.2" hidden="1" customHeight="1" x14ac:dyDescent="0.2">
      <c r="A364" s="6"/>
      <c r="B364" s="6"/>
      <c r="C364" s="6"/>
      <c r="D364" s="7"/>
      <c r="E364" s="9" t="s">
        <v>793</v>
      </c>
      <c r="F364" s="9" t="s">
        <v>794</v>
      </c>
      <c r="G364" s="9" t="s">
        <v>795</v>
      </c>
      <c r="H364" s="9" t="s">
        <v>796</v>
      </c>
      <c r="I364" s="9" t="s">
        <v>797</v>
      </c>
      <c r="J364" s="9" t="s">
        <v>798</v>
      </c>
      <c r="K364" s="6"/>
      <c r="L364" s="6"/>
      <c r="S364" s="58" t="s">
        <v>2183</v>
      </c>
    </row>
    <row r="365" spans="1:19" hidden="1" x14ac:dyDescent="0.2">
      <c r="A365" s="6"/>
      <c r="B365" s="6"/>
      <c r="C365" s="10"/>
      <c r="D365" s="11" t="s">
        <v>799</v>
      </c>
      <c r="E365" s="12">
        <v>1</v>
      </c>
      <c r="F365" s="13">
        <v>8</v>
      </c>
      <c r="G365" s="13"/>
      <c r="H365" s="13">
        <v>2.6</v>
      </c>
      <c r="I365" s="15">
        <f>ROUND(E365*F365*H365,3)</f>
        <v>20.8</v>
      </c>
      <c r="J365" s="18"/>
      <c r="K365" s="6"/>
      <c r="L365" s="6"/>
      <c r="S365" s="58" t="s">
        <v>2183</v>
      </c>
    </row>
    <row r="366" spans="1:19" hidden="1" x14ac:dyDescent="0.2">
      <c r="A366" s="6"/>
      <c r="B366" s="6"/>
      <c r="C366" s="10"/>
      <c r="D366" s="2" t="s">
        <v>800</v>
      </c>
      <c r="E366" s="1">
        <v>1</v>
      </c>
      <c r="F366" s="5">
        <v>10.75</v>
      </c>
      <c r="G366" s="5"/>
      <c r="H366" s="5">
        <v>2.7</v>
      </c>
      <c r="I366" s="14">
        <f>ROUND(E366*F366*H366,3)</f>
        <v>29.024999999999999</v>
      </c>
      <c r="J366" s="16">
        <f>SUM(I365:I366)</f>
        <v>49.825000000000003</v>
      </c>
      <c r="K366" s="6"/>
      <c r="L366" s="6"/>
      <c r="S366" s="58" t="s">
        <v>2183</v>
      </c>
    </row>
    <row r="367" spans="1:19" ht="15.4" hidden="1" customHeight="1" x14ac:dyDescent="0.2">
      <c r="A367" s="37" t="s">
        <v>801</v>
      </c>
      <c r="B367" s="34"/>
      <c r="C367" s="46" t="s">
        <v>802</v>
      </c>
      <c r="D367" s="46"/>
      <c r="E367" s="46"/>
      <c r="F367" s="46"/>
      <c r="G367" s="46"/>
      <c r="H367" s="46"/>
      <c r="I367" s="46"/>
      <c r="J367" s="34"/>
      <c r="K367" s="35">
        <v>0</v>
      </c>
      <c r="L367" s="35">
        <f>ROUND(K367,2)</f>
        <v>0</v>
      </c>
      <c r="S367" s="58" t="s">
        <v>2183</v>
      </c>
    </row>
    <row r="368" spans="1:19" ht="15.4" hidden="1" customHeight="1" x14ac:dyDescent="0.2">
      <c r="A368" s="3" t="s">
        <v>803</v>
      </c>
      <c r="B368" s="2" t="s">
        <v>804</v>
      </c>
      <c r="C368" s="45" t="s">
        <v>805</v>
      </c>
      <c r="D368" s="45"/>
      <c r="E368" s="45"/>
      <c r="F368" s="45"/>
      <c r="G368" s="45"/>
      <c r="H368" s="45"/>
      <c r="I368" s="45"/>
      <c r="J368" s="4">
        <f>SUM(J371:J372)</f>
        <v>210.37400000000002</v>
      </c>
      <c r="K368" s="5">
        <f>ROUND(0*(1+L2/100),2)</f>
        <v>0</v>
      </c>
      <c r="L368" s="5">
        <f>ROUND(J368*K368,2)</f>
        <v>0</v>
      </c>
      <c r="S368" s="58" t="s">
        <v>2183</v>
      </c>
    </row>
    <row r="369" spans="1:21" ht="132.75" hidden="1" customHeight="1" x14ac:dyDescent="0.2">
      <c r="A369" s="6"/>
      <c r="B369" s="6"/>
      <c r="C369" s="45" t="s">
        <v>806</v>
      </c>
      <c r="D369" s="45"/>
      <c r="E369" s="45"/>
      <c r="F369" s="45"/>
      <c r="G369" s="45"/>
      <c r="H369" s="45"/>
      <c r="I369" s="45"/>
      <c r="J369" s="45"/>
      <c r="K369" s="45"/>
      <c r="L369" s="45"/>
      <c r="S369" s="58" t="s">
        <v>2183</v>
      </c>
    </row>
    <row r="370" spans="1:21" ht="15.2" hidden="1" customHeight="1" x14ac:dyDescent="0.2">
      <c r="A370" s="6"/>
      <c r="B370" s="6"/>
      <c r="C370" s="6"/>
      <c r="D370" s="7"/>
      <c r="E370" s="9" t="s">
        <v>807</v>
      </c>
      <c r="F370" s="9" t="s">
        <v>808</v>
      </c>
      <c r="G370" s="9" t="s">
        <v>809</v>
      </c>
      <c r="H370" s="9" t="s">
        <v>810</v>
      </c>
      <c r="I370" s="9" t="s">
        <v>811</v>
      </c>
      <c r="J370" s="9" t="s">
        <v>812</v>
      </c>
      <c r="K370" s="6"/>
      <c r="L370" s="6"/>
      <c r="S370" s="58" t="s">
        <v>2183</v>
      </c>
    </row>
    <row r="371" spans="1:21" hidden="1" x14ac:dyDescent="0.2">
      <c r="A371" s="6"/>
      <c r="B371" s="6"/>
      <c r="C371" s="10"/>
      <c r="D371" s="11" t="s">
        <v>813</v>
      </c>
      <c r="E371" s="12">
        <v>1</v>
      </c>
      <c r="F371" s="13">
        <v>42.49</v>
      </c>
      <c r="G371" s="13"/>
      <c r="H371" s="13">
        <v>2.6</v>
      </c>
      <c r="I371" s="15">
        <f>ROUND(E371*F371*H371,3)</f>
        <v>110.474</v>
      </c>
      <c r="J371" s="18"/>
      <c r="K371" s="6"/>
      <c r="L371" s="6"/>
      <c r="S371" s="58" t="s">
        <v>2183</v>
      </c>
    </row>
    <row r="372" spans="1:21" hidden="1" x14ac:dyDescent="0.2">
      <c r="A372" s="6"/>
      <c r="B372" s="6"/>
      <c r="C372" s="10"/>
      <c r="D372" s="2" t="s">
        <v>814</v>
      </c>
      <c r="E372" s="1">
        <v>1</v>
      </c>
      <c r="F372" s="5">
        <v>37</v>
      </c>
      <c r="G372" s="5"/>
      <c r="H372" s="5">
        <v>2.7</v>
      </c>
      <c r="I372" s="14">
        <f>ROUND(E372*F372*H372,3)</f>
        <v>99.9</v>
      </c>
      <c r="J372" s="16">
        <f>SUM(I371:I372)</f>
        <v>210.37400000000002</v>
      </c>
      <c r="K372" s="6"/>
      <c r="L372" s="6"/>
      <c r="S372" s="58" t="s">
        <v>2183</v>
      </c>
    </row>
    <row r="373" spans="1:21" ht="15.4" hidden="1" customHeight="1" x14ac:dyDescent="0.2">
      <c r="A373" s="31" t="s">
        <v>815</v>
      </c>
      <c r="B373" s="28"/>
      <c r="C373" s="44" t="s">
        <v>816</v>
      </c>
      <c r="D373" s="44"/>
      <c r="E373" s="44"/>
      <c r="F373" s="44"/>
      <c r="G373" s="44"/>
      <c r="H373" s="44"/>
      <c r="I373" s="44"/>
      <c r="J373" s="28"/>
      <c r="K373" s="29">
        <v>0</v>
      </c>
      <c r="L373" s="29">
        <f>ROUND(K373,2)</f>
        <v>0</v>
      </c>
      <c r="T373" s="58" t="s">
        <v>2184</v>
      </c>
    </row>
    <row r="374" spans="1:21" ht="15.4" hidden="1" customHeight="1" x14ac:dyDescent="0.2">
      <c r="A374" s="36" t="s">
        <v>817</v>
      </c>
      <c r="B374" s="32"/>
      <c r="C374" s="47" t="s">
        <v>818</v>
      </c>
      <c r="D374" s="47"/>
      <c r="E374" s="47"/>
      <c r="F374" s="47"/>
      <c r="G374" s="47"/>
      <c r="H374" s="47"/>
      <c r="I374" s="47"/>
      <c r="J374" s="32"/>
      <c r="K374" s="33">
        <v>0</v>
      </c>
      <c r="L374" s="33">
        <f>ROUND(K374,2)</f>
        <v>0</v>
      </c>
      <c r="T374" s="58" t="s">
        <v>2184</v>
      </c>
    </row>
    <row r="375" spans="1:21" ht="15.4" hidden="1" customHeight="1" x14ac:dyDescent="0.2">
      <c r="A375" s="3" t="s">
        <v>819</v>
      </c>
      <c r="B375" s="2" t="s">
        <v>820</v>
      </c>
      <c r="C375" s="45" t="s">
        <v>821</v>
      </c>
      <c r="D375" s="45"/>
      <c r="E375" s="45"/>
      <c r="F375" s="45"/>
      <c r="G375" s="45"/>
      <c r="H375" s="45"/>
      <c r="I375" s="45"/>
      <c r="J375" s="4">
        <f>SUM(J378:J382)</f>
        <v>10.95</v>
      </c>
      <c r="K375" s="5">
        <f>ROUND(0*(1+L2/100),2)</f>
        <v>0</v>
      </c>
      <c r="L375" s="5">
        <f>ROUND(J375*K375,2)</f>
        <v>0</v>
      </c>
      <c r="T375" s="58" t="s">
        <v>2184</v>
      </c>
    </row>
    <row r="376" spans="1:21" ht="54" hidden="1" customHeight="1" x14ac:dyDescent="0.2">
      <c r="A376" s="6"/>
      <c r="B376" s="6"/>
      <c r="C376" s="45" t="s">
        <v>822</v>
      </c>
      <c r="D376" s="45"/>
      <c r="E376" s="45"/>
      <c r="F376" s="45"/>
      <c r="G376" s="45"/>
      <c r="H376" s="45"/>
      <c r="I376" s="45"/>
      <c r="J376" s="45"/>
      <c r="K376" s="45"/>
      <c r="L376" s="45"/>
      <c r="T376" s="58" t="s">
        <v>2184</v>
      </c>
    </row>
    <row r="377" spans="1:21" hidden="1" x14ac:dyDescent="0.2">
      <c r="A377" s="6"/>
      <c r="B377" s="6"/>
      <c r="C377" s="6"/>
      <c r="D377" s="7"/>
      <c r="E377" s="9" t="s">
        <v>823</v>
      </c>
      <c r="F377" s="9" t="s">
        <v>824</v>
      </c>
      <c r="G377" s="9" t="s">
        <v>825</v>
      </c>
      <c r="H377" s="9" t="s">
        <v>826</v>
      </c>
      <c r="I377" s="9" t="s">
        <v>827</v>
      </c>
      <c r="J377" s="9" t="s">
        <v>828</v>
      </c>
      <c r="K377" s="6"/>
      <c r="L377" s="6"/>
      <c r="T377" s="58" t="s">
        <v>2184</v>
      </c>
    </row>
    <row r="378" spans="1:21" hidden="1" x14ac:dyDescent="0.2">
      <c r="A378" s="6"/>
      <c r="B378" s="6"/>
      <c r="C378" s="10"/>
      <c r="D378" s="11" t="s">
        <v>829</v>
      </c>
      <c r="E378" s="12">
        <v>1</v>
      </c>
      <c r="F378" s="13">
        <v>1.3</v>
      </c>
      <c r="G378" s="13"/>
      <c r="H378" s="13"/>
      <c r="I378" s="15">
        <f>ROUND(E378*F378,3)</f>
        <v>1.3</v>
      </c>
      <c r="J378" s="18"/>
      <c r="K378" s="6"/>
      <c r="L378" s="6"/>
      <c r="T378" s="58" t="s">
        <v>2184</v>
      </c>
    </row>
    <row r="379" spans="1:21" hidden="1" x14ac:dyDescent="0.2">
      <c r="A379" s="6"/>
      <c r="B379" s="6"/>
      <c r="C379" s="10"/>
      <c r="D379" s="2" t="s">
        <v>830</v>
      </c>
      <c r="E379" s="1">
        <v>1</v>
      </c>
      <c r="F379" s="5">
        <v>2.0499999999999998</v>
      </c>
      <c r="G379" s="5"/>
      <c r="H379" s="5"/>
      <c r="I379" s="14">
        <f>ROUND(E379*F379,3)</f>
        <v>2.0499999999999998</v>
      </c>
      <c r="J379" s="6"/>
      <c r="K379" s="6"/>
      <c r="L379" s="6"/>
      <c r="T379" s="58" t="s">
        <v>2184</v>
      </c>
    </row>
    <row r="380" spans="1:21" hidden="1" x14ac:dyDescent="0.2">
      <c r="A380" s="6"/>
      <c r="B380" s="6"/>
      <c r="C380" s="10"/>
      <c r="D380" s="2" t="s">
        <v>831</v>
      </c>
      <c r="E380" s="1">
        <v>1</v>
      </c>
      <c r="F380" s="5">
        <v>1</v>
      </c>
      <c r="G380" s="5"/>
      <c r="H380" s="5"/>
      <c r="I380" s="14">
        <f>ROUND(E380*F380,3)</f>
        <v>1</v>
      </c>
      <c r="J380" s="6"/>
      <c r="K380" s="6"/>
      <c r="L380" s="6"/>
      <c r="T380" s="58" t="s">
        <v>2184</v>
      </c>
    </row>
    <row r="381" spans="1:21" hidden="1" x14ac:dyDescent="0.2">
      <c r="A381" s="6"/>
      <c r="B381" s="6"/>
      <c r="C381" s="10"/>
      <c r="D381" s="2" t="s">
        <v>832</v>
      </c>
      <c r="E381" s="1">
        <v>1</v>
      </c>
      <c r="F381" s="5">
        <v>1.8</v>
      </c>
      <c r="G381" s="5"/>
      <c r="H381" s="5"/>
      <c r="I381" s="14">
        <f>ROUND(E381*F381,3)</f>
        <v>1.8</v>
      </c>
      <c r="J381" s="6"/>
      <c r="K381" s="6"/>
      <c r="L381" s="6"/>
      <c r="T381" s="58" t="s">
        <v>2184</v>
      </c>
    </row>
    <row r="382" spans="1:21" hidden="1" x14ac:dyDescent="0.2">
      <c r="A382" s="6"/>
      <c r="B382" s="6"/>
      <c r="C382" s="10"/>
      <c r="D382" s="2" t="s">
        <v>833</v>
      </c>
      <c r="E382" s="1">
        <v>2</v>
      </c>
      <c r="F382" s="5">
        <v>2.4</v>
      </c>
      <c r="G382" s="5"/>
      <c r="H382" s="5"/>
      <c r="I382" s="14">
        <f>ROUND(E382*F382,3)</f>
        <v>4.8</v>
      </c>
      <c r="J382" s="16">
        <f>SUM(I378:I382)</f>
        <v>10.95</v>
      </c>
      <c r="K382" s="6"/>
      <c r="L382" s="6"/>
      <c r="T382" s="58" t="s">
        <v>2184</v>
      </c>
    </row>
    <row r="383" spans="1:21" ht="15.4" customHeight="1" x14ac:dyDescent="0.2">
      <c r="A383" s="37" t="s">
        <v>834</v>
      </c>
      <c r="B383" s="34"/>
      <c r="C383" s="46" t="s">
        <v>835</v>
      </c>
      <c r="D383" s="46"/>
      <c r="E383" s="46"/>
      <c r="F383" s="46"/>
      <c r="G383" s="46"/>
      <c r="H383" s="46"/>
      <c r="I383" s="46"/>
      <c r="J383" s="34"/>
      <c r="K383" s="35">
        <v>0</v>
      </c>
      <c r="L383" s="35">
        <f>ROUND(K383,2)</f>
        <v>0</v>
      </c>
      <c r="U383" s="58" t="s">
        <v>2185</v>
      </c>
    </row>
    <row r="384" spans="1:21" ht="15.4" customHeight="1" x14ac:dyDescent="0.2">
      <c r="A384" s="3" t="s">
        <v>836</v>
      </c>
      <c r="B384" s="2" t="s">
        <v>837</v>
      </c>
      <c r="C384" s="45" t="s">
        <v>838</v>
      </c>
      <c r="D384" s="45"/>
      <c r="E384" s="45"/>
      <c r="F384" s="45"/>
      <c r="G384" s="45"/>
      <c r="H384" s="45"/>
      <c r="I384" s="45"/>
      <c r="J384" s="4">
        <f>SUM(J387:J388)</f>
        <v>1</v>
      </c>
      <c r="K384" s="5">
        <f>ROUND(0*(1+L2/100),2)</f>
        <v>0</v>
      </c>
      <c r="L384" s="5">
        <f>ROUND(J384*K384,2)</f>
        <v>0</v>
      </c>
      <c r="U384" s="58" t="s">
        <v>2185</v>
      </c>
    </row>
    <row r="385" spans="1:21" ht="60.75" customHeight="1" x14ac:dyDescent="0.2">
      <c r="A385" s="6"/>
      <c r="B385" s="6"/>
      <c r="C385" s="45" t="s">
        <v>839</v>
      </c>
      <c r="D385" s="45"/>
      <c r="E385" s="45"/>
      <c r="F385" s="45"/>
      <c r="G385" s="45"/>
      <c r="H385" s="45"/>
      <c r="I385" s="45"/>
      <c r="J385" s="45"/>
      <c r="K385" s="45"/>
      <c r="L385" s="45"/>
      <c r="U385" s="58" t="s">
        <v>2185</v>
      </c>
    </row>
    <row r="386" spans="1:21" ht="15.2" customHeight="1" x14ac:dyDescent="0.2">
      <c r="A386" s="6"/>
      <c r="B386" s="6"/>
      <c r="C386" s="6"/>
      <c r="D386" s="7"/>
      <c r="E386" s="9" t="s">
        <v>840</v>
      </c>
      <c r="F386" s="9" t="s">
        <v>841</v>
      </c>
      <c r="G386" s="9" t="s">
        <v>842</v>
      </c>
      <c r="H386" s="9" t="s">
        <v>843</v>
      </c>
      <c r="I386" s="9" t="s">
        <v>844</v>
      </c>
      <c r="J386" s="9" t="s">
        <v>845</v>
      </c>
      <c r="K386" s="6"/>
      <c r="L386" s="6"/>
      <c r="U386" s="58" t="s">
        <v>2185</v>
      </c>
    </row>
    <row r="387" spans="1:21" x14ac:dyDescent="0.2">
      <c r="A387" s="6"/>
      <c r="B387" s="6"/>
      <c r="C387" s="10"/>
      <c r="D387" s="11" t="s">
        <v>846</v>
      </c>
      <c r="E387" s="12"/>
      <c r="F387" s="13"/>
      <c r="G387" s="13"/>
      <c r="H387" s="13"/>
      <c r="I387" s="19" t="s">
        <v>847</v>
      </c>
      <c r="J387" s="18"/>
      <c r="K387" s="6"/>
      <c r="L387" s="6"/>
      <c r="U387" s="58" t="s">
        <v>2185</v>
      </c>
    </row>
    <row r="388" spans="1:21" ht="15.2" customHeight="1" x14ac:dyDescent="0.2">
      <c r="A388" s="6"/>
      <c r="B388" s="6"/>
      <c r="C388" s="10"/>
      <c r="D388" s="2" t="s">
        <v>848</v>
      </c>
      <c r="E388" s="1">
        <v>1</v>
      </c>
      <c r="F388" s="5"/>
      <c r="G388" s="5"/>
      <c r="H388" s="5"/>
      <c r="I388" s="14">
        <f>ROUND(E388,3)</f>
        <v>1</v>
      </c>
      <c r="J388" s="16">
        <f>SUM(I387:I388)</f>
        <v>1</v>
      </c>
      <c r="K388" s="6"/>
      <c r="L388" s="6"/>
      <c r="U388" s="58" t="s">
        <v>2185</v>
      </c>
    </row>
    <row r="389" spans="1:21" ht="15.4" customHeight="1" x14ac:dyDescent="0.2">
      <c r="A389" s="3" t="s">
        <v>849</v>
      </c>
      <c r="B389" s="2" t="s">
        <v>850</v>
      </c>
      <c r="C389" s="45" t="s">
        <v>851</v>
      </c>
      <c r="D389" s="45"/>
      <c r="E389" s="45"/>
      <c r="F389" s="45"/>
      <c r="G389" s="45"/>
      <c r="H389" s="45"/>
      <c r="I389" s="45"/>
      <c r="J389" s="4">
        <f>SUM(J392:J393)</f>
        <v>1</v>
      </c>
      <c r="K389" s="5">
        <f>ROUND(0*(1+L2/100),2)</f>
        <v>0</v>
      </c>
      <c r="L389" s="5">
        <f>ROUND(J389*K389,2)</f>
        <v>0</v>
      </c>
      <c r="U389" s="58" t="s">
        <v>2185</v>
      </c>
    </row>
    <row r="390" spans="1:21" ht="72.75" customHeight="1" x14ac:dyDescent="0.2">
      <c r="A390" s="6"/>
      <c r="B390" s="6"/>
      <c r="C390" s="45" t="s">
        <v>852</v>
      </c>
      <c r="D390" s="45"/>
      <c r="E390" s="45"/>
      <c r="F390" s="45"/>
      <c r="G390" s="45"/>
      <c r="H390" s="45"/>
      <c r="I390" s="45"/>
      <c r="J390" s="45"/>
      <c r="K390" s="45"/>
      <c r="L390" s="45"/>
      <c r="U390" s="58" t="s">
        <v>2185</v>
      </c>
    </row>
    <row r="391" spans="1:21" ht="15.2" customHeight="1" x14ac:dyDescent="0.2">
      <c r="A391" s="6"/>
      <c r="B391" s="6"/>
      <c r="C391" s="6"/>
      <c r="D391" s="7"/>
      <c r="E391" s="9" t="s">
        <v>853</v>
      </c>
      <c r="F391" s="9" t="s">
        <v>854</v>
      </c>
      <c r="G391" s="9" t="s">
        <v>855</v>
      </c>
      <c r="H391" s="9" t="s">
        <v>856</v>
      </c>
      <c r="I391" s="9" t="s">
        <v>857</v>
      </c>
      <c r="J391" s="9" t="s">
        <v>858</v>
      </c>
      <c r="K391" s="6"/>
      <c r="L391" s="6"/>
      <c r="U391" s="58" t="s">
        <v>2185</v>
      </c>
    </row>
    <row r="392" spans="1:21" ht="15.2" customHeight="1" x14ac:dyDescent="0.2">
      <c r="A392" s="6"/>
      <c r="B392" s="6"/>
      <c r="C392" s="10"/>
      <c r="D392" s="11" t="s">
        <v>859</v>
      </c>
      <c r="E392" s="12"/>
      <c r="F392" s="13"/>
      <c r="G392" s="13"/>
      <c r="H392" s="13"/>
      <c r="I392" s="19" t="s">
        <v>860</v>
      </c>
      <c r="J392" s="18"/>
      <c r="K392" s="6"/>
      <c r="L392" s="6"/>
      <c r="U392" s="58" t="s">
        <v>2185</v>
      </c>
    </row>
    <row r="393" spans="1:21" ht="15.2" customHeight="1" x14ac:dyDescent="0.2">
      <c r="A393" s="6"/>
      <c r="B393" s="6"/>
      <c r="C393" s="10"/>
      <c r="D393" s="2" t="s">
        <v>861</v>
      </c>
      <c r="E393" s="1">
        <v>1</v>
      </c>
      <c r="F393" s="5"/>
      <c r="G393" s="5"/>
      <c r="H393" s="5"/>
      <c r="I393" s="14">
        <f>ROUND(E393,3)</f>
        <v>1</v>
      </c>
      <c r="J393" s="16">
        <f>SUM(I392:I393)</f>
        <v>1</v>
      </c>
      <c r="K393" s="6"/>
      <c r="L393" s="6"/>
      <c r="U393" s="58" t="s">
        <v>2185</v>
      </c>
    </row>
    <row r="394" spans="1:21" ht="15.4" customHeight="1" x14ac:dyDescent="0.2">
      <c r="A394" s="3" t="s">
        <v>862</v>
      </c>
      <c r="B394" s="2" t="s">
        <v>863</v>
      </c>
      <c r="C394" s="45" t="s">
        <v>864</v>
      </c>
      <c r="D394" s="45"/>
      <c r="E394" s="45"/>
      <c r="F394" s="45"/>
      <c r="G394" s="45"/>
      <c r="H394" s="45"/>
      <c r="I394" s="45"/>
      <c r="J394" s="4">
        <f>SUM(J397:J398)</f>
        <v>1</v>
      </c>
      <c r="K394" s="5">
        <f>ROUND(0*(1+L2/100),2)</f>
        <v>0</v>
      </c>
      <c r="L394" s="5">
        <f>ROUND(J394*K394,2)</f>
        <v>0</v>
      </c>
      <c r="U394" s="58" t="s">
        <v>2185</v>
      </c>
    </row>
    <row r="395" spans="1:21" ht="75.75" customHeight="1" x14ac:dyDescent="0.2">
      <c r="A395" s="6"/>
      <c r="B395" s="6"/>
      <c r="C395" s="45" t="s">
        <v>865</v>
      </c>
      <c r="D395" s="45"/>
      <c r="E395" s="45"/>
      <c r="F395" s="45"/>
      <c r="G395" s="45"/>
      <c r="H395" s="45"/>
      <c r="I395" s="45"/>
      <c r="J395" s="45"/>
      <c r="K395" s="45"/>
      <c r="L395" s="45"/>
      <c r="U395" s="58" t="s">
        <v>2185</v>
      </c>
    </row>
    <row r="396" spans="1:21" ht="15.2" customHeight="1" x14ac:dyDescent="0.2">
      <c r="A396" s="6"/>
      <c r="B396" s="6"/>
      <c r="C396" s="6"/>
      <c r="D396" s="7"/>
      <c r="E396" s="9" t="s">
        <v>866</v>
      </c>
      <c r="F396" s="9" t="s">
        <v>867</v>
      </c>
      <c r="G396" s="9" t="s">
        <v>868</v>
      </c>
      <c r="H396" s="9" t="s">
        <v>869</v>
      </c>
      <c r="I396" s="9" t="s">
        <v>870</v>
      </c>
      <c r="J396" s="9" t="s">
        <v>871</v>
      </c>
      <c r="K396" s="6"/>
      <c r="L396" s="6"/>
      <c r="U396" s="58" t="s">
        <v>2185</v>
      </c>
    </row>
    <row r="397" spans="1:21" ht="22.5" x14ac:dyDescent="0.2">
      <c r="A397" s="6"/>
      <c r="B397" s="6"/>
      <c r="C397" s="10"/>
      <c r="D397" s="11" t="s">
        <v>872</v>
      </c>
      <c r="E397" s="12"/>
      <c r="F397" s="13"/>
      <c r="G397" s="13"/>
      <c r="H397" s="13"/>
      <c r="I397" s="19" t="s">
        <v>873</v>
      </c>
      <c r="J397" s="18"/>
      <c r="K397" s="6"/>
      <c r="L397" s="6"/>
      <c r="U397" s="58" t="s">
        <v>2185</v>
      </c>
    </row>
    <row r="398" spans="1:21" ht="15.2" customHeight="1" x14ac:dyDescent="0.2">
      <c r="A398" s="6"/>
      <c r="B398" s="6"/>
      <c r="C398" s="10"/>
      <c r="D398" s="2" t="s">
        <v>874</v>
      </c>
      <c r="E398" s="1">
        <v>1</v>
      </c>
      <c r="F398" s="5"/>
      <c r="G398" s="5"/>
      <c r="H398" s="5"/>
      <c r="I398" s="14">
        <f>ROUND(E398,3)</f>
        <v>1</v>
      </c>
      <c r="J398" s="16">
        <f>SUM(I397:I398)</f>
        <v>1</v>
      </c>
      <c r="K398" s="6"/>
      <c r="L398" s="6"/>
      <c r="U398" s="58" t="s">
        <v>2185</v>
      </c>
    </row>
    <row r="399" spans="1:21" ht="15.4" customHeight="1" x14ac:dyDescent="0.2">
      <c r="A399" s="3" t="s">
        <v>875</v>
      </c>
      <c r="B399" s="2" t="s">
        <v>876</v>
      </c>
      <c r="C399" s="45" t="s">
        <v>877</v>
      </c>
      <c r="D399" s="45"/>
      <c r="E399" s="45"/>
      <c r="F399" s="45"/>
      <c r="G399" s="45"/>
      <c r="H399" s="45"/>
      <c r="I399" s="45"/>
      <c r="J399" s="4">
        <f>SUM(J402:J403)</f>
        <v>1</v>
      </c>
      <c r="K399" s="5">
        <f>ROUND(0*(1+L2/100),2)</f>
        <v>0</v>
      </c>
      <c r="L399" s="5">
        <f>ROUND(J399*K399,2)</f>
        <v>0</v>
      </c>
      <c r="U399" s="58" t="s">
        <v>2185</v>
      </c>
    </row>
    <row r="400" spans="1:21" ht="49.5" customHeight="1" x14ac:dyDescent="0.2">
      <c r="A400" s="6"/>
      <c r="B400" s="6"/>
      <c r="C400" s="45" t="s">
        <v>878</v>
      </c>
      <c r="D400" s="45"/>
      <c r="E400" s="45"/>
      <c r="F400" s="45"/>
      <c r="G400" s="45"/>
      <c r="H400" s="45"/>
      <c r="I400" s="45"/>
      <c r="J400" s="45"/>
      <c r="K400" s="45"/>
      <c r="L400" s="45"/>
      <c r="U400" s="58" t="s">
        <v>2185</v>
      </c>
    </row>
    <row r="401" spans="1:21" ht="15.2" customHeight="1" x14ac:dyDescent="0.2">
      <c r="A401" s="6"/>
      <c r="B401" s="6"/>
      <c r="C401" s="6"/>
      <c r="D401" s="7"/>
      <c r="E401" s="9" t="s">
        <v>879</v>
      </c>
      <c r="F401" s="9" t="s">
        <v>880</v>
      </c>
      <c r="G401" s="9" t="s">
        <v>881</v>
      </c>
      <c r="H401" s="9" t="s">
        <v>882</v>
      </c>
      <c r="I401" s="9" t="s">
        <v>883</v>
      </c>
      <c r="J401" s="9" t="s">
        <v>884</v>
      </c>
      <c r="K401" s="6"/>
      <c r="L401" s="6"/>
      <c r="U401" s="58" t="s">
        <v>2185</v>
      </c>
    </row>
    <row r="402" spans="1:21" ht="15.2" customHeight="1" x14ac:dyDescent="0.2">
      <c r="A402" s="6"/>
      <c r="B402" s="6"/>
      <c r="C402" s="10"/>
      <c r="D402" s="11" t="s">
        <v>885</v>
      </c>
      <c r="E402" s="12"/>
      <c r="F402" s="13"/>
      <c r="G402" s="13"/>
      <c r="H402" s="13"/>
      <c r="I402" s="19" t="s">
        <v>886</v>
      </c>
      <c r="J402" s="18"/>
      <c r="K402" s="6"/>
      <c r="L402" s="6"/>
      <c r="U402" s="58" t="s">
        <v>2185</v>
      </c>
    </row>
    <row r="403" spans="1:21" ht="15.2" customHeight="1" x14ac:dyDescent="0.2">
      <c r="A403" s="6"/>
      <c r="B403" s="6"/>
      <c r="C403" s="10"/>
      <c r="D403" s="2" t="s">
        <v>887</v>
      </c>
      <c r="E403" s="1">
        <v>1</v>
      </c>
      <c r="F403" s="5"/>
      <c r="G403" s="5"/>
      <c r="H403" s="5"/>
      <c r="I403" s="14">
        <f>ROUND(E403,3)</f>
        <v>1</v>
      </c>
      <c r="J403" s="16">
        <f>SUM(I402:I403)</f>
        <v>1</v>
      </c>
      <c r="K403" s="6"/>
      <c r="L403" s="6"/>
      <c r="U403" s="58" t="s">
        <v>2185</v>
      </c>
    </row>
    <row r="404" spans="1:21" ht="15.4" customHeight="1" x14ac:dyDescent="0.2">
      <c r="A404" s="3" t="s">
        <v>888</v>
      </c>
      <c r="B404" s="2" t="s">
        <v>889</v>
      </c>
      <c r="C404" s="45" t="s">
        <v>890</v>
      </c>
      <c r="D404" s="45"/>
      <c r="E404" s="45"/>
      <c r="F404" s="45"/>
      <c r="G404" s="45"/>
      <c r="H404" s="45"/>
      <c r="I404" s="45"/>
      <c r="J404" s="4">
        <f>SUM(J407:J408)</f>
        <v>1</v>
      </c>
      <c r="K404" s="5">
        <f>ROUND(0*(1+L2/100),2)</f>
        <v>0</v>
      </c>
      <c r="L404" s="5">
        <f>ROUND(J404*K404,2)</f>
        <v>0</v>
      </c>
      <c r="U404" s="58" t="s">
        <v>2185</v>
      </c>
    </row>
    <row r="405" spans="1:21" ht="84" customHeight="1" x14ac:dyDescent="0.2">
      <c r="A405" s="6"/>
      <c r="B405" s="6"/>
      <c r="C405" s="45" t="s">
        <v>891</v>
      </c>
      <c r="D405" s="45"/>
      <c r="E405" s="45"/>
      <c r="F405" s="45"/>
      <c r="G405" s="45"/>
      <c r="H405" s="45"/>
      <c r="I405" s="45"/>
      <c r="J405" s="45"/>
      <c r="K405" s="45"/>
      <c r="L405" s="45"/>
      <c r="U405" s="58" t="s">
        <v>2185</v>
      </c>
    </row>
    <row r="406" spans="1:21" ht="15.2" customHeight="1" x14ac:dyDescent="0.2">
      <c r="A406" s="6"/>
      <c r="B406" s="6"/>
      <c r="C406" s="6"/>
      <c r="D406" s="7"/>
      <c r="E406" s="9" t="s">
        <v>892</v>
      </c>
      <c r="F406" s="9" t="s">
        <v>893</v>
      </c>
      <c r="G406" s="9" t="s">
        <v>894</v>
      </c>
      <c r="H406" s="9" t="s">
        <v>895</v>
      </c>
      <c r="I406" s="9" t="s">
        <v>896</v>
      </c>
      <c r="J406" s="9" t="s">
        <v>897</v>
      </c>
      <c r="K406" s="6"/>
      <c r="L406" s="6"/>
      <c r="U406" s="58" t="s">
        <v>2185</v>
      </c>
    </row>
    <row r="407" spans="1:21" ht="22.5" x14ac:dyDescent="0.2">
      <c r="A407" s="6"/>
      <c r="B407" s="6"/>
      <c r="C407" s="10"/>
      <c r="D407" s="11" t="s">
        <v>898</v>
      </c>
      <c r="E407" s="12"/>
      <c r="F407" s="13"/>
      <c r="G407" s="13"/>
      <c r="H407" s="13"/>
      <c r="I407" s="19" t="s">
        <v>899</v>
      </c>
      <c r="J407" s="18"/>
      <c r="K407" s="6"/>
      <c r="L407" s="6"/>
      <c r="U407" s="58" t="s">
        <v>2185</v>
      </c>
    </row>
    <row r="408" spans="1:21" ht="15.2" customHeight="1" x14ac:dyDescent="0.2">
      <c r="A408" s="6"/>
      <c r="B408" s="6"/>
      <c r="C408" s="10"/>
      <c r="D408" s="2" t="s">
        <v>900</v>
      </c>
      <c r="E408" s="1">
        <v>1</v>
      </c>
      <c r="F408" s="5"/>
      <c r="G408" s="5"/>
      <c r="H408" s="5"/>
      <c r="I408" s="14">
        <f>ROUND(E408,3)</f>
        <v>1</v>
      </c>
      <c r="J408" s="16">
        <f>SUM(I407:I408)</f>
        <v>1</v>
      </c>
      <c r="K408" s="6"/>
      <c r="L408" s="6"/>
      <c r="U408" s="58" t="s">
        <v>2185</v>
      </c>
    </row>
    <row r="409" spans="1:21" ht="15.4" customHeight="1" x14ac:dyDescent="0.2">
      <c r="A409" s="3" t="s">
        <v>901</v>
      </c>
      <c r="B409" s="2" t="s">
        <v>902</v>
      </c>
      <c r="C409" s="45" t="s">
        <v>903</v>
      </c>
      <c r="D409" s="45"/>
      <c r="E409" s="45"/>
      <c r="F409" s="45"/>
      <c r="G409" s="45"/>
      <c r="H409" s="45"/>
      <c r="I409" s="45"/>
      <c r="J409" s="4">
        <f>SUM(J412:J413)</f>
        <v>1</v>
      </c>
      <c r="K409" s="5">
        <f>ROUND(0*(1+L2/100),2)</f>
        <v>0</v>
      </c>
      <c r="L409" s="5">
        <f>ROUND(J409*K409,2)</f>
        <v>0</v>
      </c>
      <c r="U409" s="58" t="s">
        <v>2185</v>
      </c>
    </row>
    <row r="410" spans="1:21" ht="49.5" customHeight="1" x14ac:dyDescent="0.2">
      <c r="A410" s="6"/>
      <c r="B410" s="6"/>
      <c r="C410" s="45" t="s">
        <v>904</v>
      </c>
      <c r="D410" s="45"/>
      <c r="E410" s="45"/>
      <c r="F410" s="45"/>
      <c r="G410" s="45"/>
      <c r="H410" s="45"/>
      <c r="I410" s="45"/>
      <c r="J410" s="45"/>
      <c r="K410" s="45"/>
      <c r="L410" s="45"/>
      <c r="U410" s="58" t="s">
        <v>2185</v>
      </c>
    </row>
    <row r="411" spans="1:21" ht="15.2" customHeight="1" x14ac:dyDescent="0.2">
      <c r="A411" s="6"/>
      <c r="B411" s="6"/>
      <c r="C411" s="6"/>
      <c r="D411" s="7"/>
      <c r="E411" s="9" t="s">
        <v>905</v>
      </c>
      <c r="F411" s="9" t="s">
        <v>906</v>
      </c>
      <c r="G411" s="9" t="s">
        <v>907</v>
      </c>
      <c r="H411" s="9" t="s">
        <v>908</v>
      </c>
      <c r="I411" s="9" t="s">
        <v>909</v>
      </c>
      <c r="J411" s="9" t="s">
        <v>910</v>
      </c>
      <c r="K411" s="6"/>
      <c r="L411" s="6"/>
      <c r="U411" s="58" t="s">
        <v>2185</v>
      </c>
    </row>
    <row r="412" spans="1:21" ht="15.2" customHeight="1" x14ac:dyDescent="0.2">
      <c r="A412" s="6"/>
      <c r="B412" s="6"/>
      <c r="C412" s="10"/>
      <c r="D412" s="11" t="s">
        <v>911</v>
      </c>
      <c r="E412" s="12"/>
      <c r="F412" s="13"/>
      <c r="G412" s="13"/>
      <c r="H412" s="13"/>
      <c r="I412" s="19" t="s">
        <v>912</v>
      </c>
      <c r="J412" s="18"/>
      <c r="K412" s="6"/>
      <c r="L412" s="6"/>
      <c r="U412" s="58" t="s">
        <v>2185</v>
      </c>
    </row>
    <row r="413" spans="1:21" ht="15.2" customHeight="1" x14ac:dyDescent="0.2">
      <c r="A413" s="6"/>
      <c r="B413" s="6"/>
      <c r="C413" s="10"/>
      <c r="D413" s="2" t="s">
        <v>913</v>
      </c>
      <c r="E413" s="1">
        <v>1</v>
      </c>
      <c r="F413" s="5"/>
      <c r="G413" s="5"/>
      <c r="H413" s="5"/>
      <c r="I413" s="14">
        <f>ROUND(E413,3)</f>
        <v>1</v>
      </c>
      <c r="J413" s="16">
        <f>SUM(I412:I413)</f>
        <v>1</v>
      </c>
      <c r="K413" s="6"/>
      <c r="L413" s="6"/>
      <c r="U413" s="58" t="s">
        <v>2185</v>
      </c>
    </row>
    <row r="414" spans="1:21" ht="15.4" customHeight="1" x14ac:dyDescent="0.2">
      <c r="A414" s="3" t="s">
        <v>914</v>
      </c>
      <c r="B414" s="2" t="s">
        <v>915</v>
      </c>
      <c r="C414" s="45" t="s">
        <v>916</v>
      </c>
      <c r="D414" s="45"/>
      <c r="E414" s="45"/>
      <c r="F414" s="45"/>
      <c r="G414" s="45"/>
      <c r="H414" s="45"/>
      <c r="I414" s="45"/>
      <c r="J414" s="4">
        <f>SUM(J417:J418)</f>
        <v>2</v>
      </c>
      <c r="K414" s="5">
        <f>ROUND(0*(1+L2/100),2)</f>
        <v>0</v>
      </c>
      <c r="L414" s="5">
        <f>ROUND(J414*K414,2)</f>
        <v>0</v>
      </c>
      <c r="U414" s="58" t="s">
        <v>2185</v>
      </c>
    </row>
    <row r="415" spans="1:21" ht="62.25" customHeight="1" x14ac:dyDescent="0.2">
      <c r="A415" s="6"/>
      <c r="B415" s="6"/>
      <c r="C415" s="45" t="s">
        <v>917</v>
      </c>
      <c r="D415" s="45"/>
      <c r="E415" s="45"/>
      <c r="F415" s="45"/>
      <c r="G415" s="45"/>
      <c r="H415" s="45"/>
      <c r="I415" s="45"/>
      <c r="J415" s="45"/>
      <c r="K415" s="45"/>
      <c r="L415" s="45"/>
      <c r="U415" s="58" t="s">
        <v>2185</v>
      </c>
    </row>
    <row r="416" spans="1:21" ht="15.2" customHeight="1" x14ac:dyDescent="0.2">
      <c r="A416" s="6"/>
      <c r="B416" s="6"/>
      <c r="C416" s="6"/>
      <c r="D416" s="7"/>
      <c r="E416" s="9" t="s">
        <v>918</v>
      </c>
      <c r="F416" s="9" t="s">
        <v>919</v>
      </c>
      <c r="G416" s="9" t="s">
        <v>920</v>
      </c>
      <c r="H416" s="9" t="s">
        <v>921</v>
      </c>
      <c r="I416" s="9" t="s">
        <v>922</v>
      </c>
      <c r="J416" s="9" t="s">
        <v>923</v>
      </c>
      <c r="K416" s="6"/>
      <c r="L416" s="6"/>
      <c r="U416" s="58" t="s">
        <v>2185</v>
      </c>
    </row>
    <row r="417" spans="1:21" ht="15.2" customHeight="1" x14ac:dyDescent="0.2">
      <c r="A417" s="6"/>
      <c r="B417" s="6"/>
      <c r="C417" s="10"/>
      <c r="D417" s="11" t="s">
        <v>924</v>
      </c>
      <c r="E417" s="12"/>
      <c r="F417" s="13"/>
      <c r="G417" s="13"/>
      <c r="H417" s="13"/>
      <c r="I417" s="19" t="s">
        <v>925</v>
      </c>
      <c r="J417" s="18"/>
      <c r="K417" s="6"/>
      <c r="L417" s="6"/>
      <c r="U417" s="58" t="s">
        <v>2185</v>
      </c>
    </row>
    <row r="418" spans="1:21" ht="15.2" customHeight="1" x14ac:dyDescent="0.2">
      <c r="A418" s="6"/>
      <c r="B418" s="6"/>
      <c r="C418" s="10"/>
      <c r="D418" s="2" t="s">
        <v>926</v>
      </c>
      <c r="E418" s="1">
        <v>2</v>
      </c>
      <c r="F418" s="5"/>
      <c r="G418" s="5"/>
      <c r="H418" s="5"/>
      <c r="I418" s="14">
        <f>ROUND(E418,3)</f>
        <v>2</v>
      </c>
      <c r="J418" s="16">
        <f>SUM(I417:I418)</f>
        <v>2</v>
      </c>
      <c r="K418" s="6"/>
      <c r="L418" s="6"/>
      <c r="U418" s="58" t="s">
        <v>2185</v>
      </c>
    </row>
    <row r="419" spans="1:21" ht="15.4" customHeight="1" x14ac:dyDescent="0.2">
      <c r="A419" s="3" t="s">
        <v>927</v>
      </c>
      <c r="B419" s="2" t="s">
        <v>928</v>
      </c>
      <c r="C419" s="45" t="s">
        <v>929</v>
      </c>
      <c r="D419" s="45"/>
      <c r="E419" s="45"/>
      <c r="F419" s="45"/>
      <c r="G419" s="45"/>
      <c r="H419" s="45"/>
      <c r="I419" s="45"/>
      <c r="J419" s="4">
        <f>SUM(J422:J423)</f>
        <v>2</v>
      </c>
      <c r="K419" s="5">
        <f>ROUND(0*(1+L2/100),2)</f>
        <v>0</v>
      </c>
      <c r="L419" s="5">
        <f>ROUND(J419*K419,2)</f>
        <v>0</v>
      </c>
      <c r="U419" s="58" t="s">
        <v>2185</v>
      </c>
    </row>
    <row r="420" spans="1:21" ht="72.75" customHeight="1" x14ac:dyDescent="0.2">
      <c r="A420" s="6"/>
      <c r="B420" s="6"/>
      <c r="C420" s="45" t="s">
        <v>930</v>
      </c>
      <c r="D420" s="45"/>
      <c r="E420" s="45"/>
      <c r="F420" s="45"/>
      <c r="G420" s="45"/>
      <c r="H420" s="45"/>
      <c r="I420" s="45"/>
      <c r="J420" s="45"/>
      <c r="K420" s="45"/>
      <c r="L420" s="45"/>
      <c r="U420" s="58" t="s">
        <v>2185</v>
      </c>
    </row>
    <row r="421" spans="1:21" ht="15.2" customHeight="1" x14ac:dyDescent="0.2">
      <c r="A421" s="6"/>
      <c r="B421" s="6"/>
      <c r="C421" s="6"/>
      <c r="D421" s="7"/>
      <c r="E421" s="9" t="s">
        <v>931</v>
      </c>
      <c r="F421" s="9" t="s">
        <v>932</v>
      </c>
      <c r="G421" s="9" t="s">
        <v>933</v>
      </c>
      <c r="H421" s="9" t="s">
        <v>934</v>
      </c>
      <c r="I421" s="9" t="s">
        <v>935</v>
      </c>
      <c r="J421" s="9" t="s">
        <v>936</v>
      </c>
      <c r="K421" s="6"/>
      <c r="L421" s="6"/>
      <c r="U421" s="58" t="s">
        <v>2185</v>
      </c>
    </row>
    <row r="422" spans="1:21" ht="15.2" customHeight="1" x14ac:dyDescent="0.2">
      <c r="A422" s="6"/>
      <c r="B422" s="6"/>
      <c r="C422" s="10"/>
      <c r="D422" s="11" t="s">
        <v>937</v>
      </c>
      <c r="E422" s="12"/>
      <c r="F422" s="13"/>
      <c r="G422" s="13"/>
      <c r="H422" s="13"/>
      <c r="I422" s="19" t="s">
        <v>938</v>
      </c>
      <c r="J422" s="18"/>
      <c r="K422" s="6"/>
      <c r="L422" s="6"/>
      <c r="U422" s="58" t="s">
        <v>2185</v>
      </c>
    </row>
    <row r="423" spans="1:21" ht="15.2" customHeight="1" x14ac:dyDescent="0.2">
      <c r="A423" s="6"/>
      <c r="B423" s="6"/>
      <c r="C423" s="10"/>
      <c r="D423" s="2" t="s">
        <v>939</v>
      </c>
      <c r="E423" s="1">
        <v>2</v>
      </c>
      <c r="F423" s="5"/>
      <c r="G423" s="5"/>
      <c r="H423" s="5"/>
      <c r="I423" s="14">
        <f>ROUND(E423,3)</f>
        <v>2</v>
      </c>
      <c r="J423" s="16">
        <f>SUM(I422:I423)</f>
        <v>2</v>
      </c>
      <c r="K423" s="6"/>
      <c r="L423" s="6"/>
      <c r="U423" s="58" t="s">
        <v>2185</v>
      </c>
    </row>
    <row r="424" spans="1:21" ht="15.4" customHeight="1" x14ac:dyDescent="0.2">
      <c r="A424" s="3" t="s">
        <v>940</v>
      </c>
      <c r="B424" s="2" t="s">
        <v>941</v>
      </c>
      <c r="C424" s="45" t="s">
        <v>942</v>
      </c>
      <c r="D424" s="45"/>
      <c r="E424" s="45"/>
      <c r="F424" s="45"/>
      <c r="G424" s="45"/>
      <c r="H424" s="45"/>
      <c r="I424" s="45"/>
      <c r="J424" s="4">
        <f>SUM(J427:J428)</f>
        <v>1</v>
      </c>
      <c r="K424" s="5">
        <f>ROUND(0*(1+L2/100),2)</f>
        <v>0</v>
      </c>
      <c r="L424" s="5">
        <f>ROUND(J424*K424,2)</f>
        <v>0</v>
      </c>
      <c r="U424" s="58" t="s">
        <v>2185</v>
      </c>
    </row>
    <row r="425" spans="1:21" ht="71.25" customHeight="1" x14ac:dyDescent="0.2">
      <c r="A425" s="6"/>
      <c r="B425" s="6"/>
      <c r="C425" s="45" t="s">
        <v>943</v>
      </c>
      <c r="D425" s="45"/>
      <c r="E425" s="45"/>
      <c r="F425" s="45"/>
      <c r="G425" s="45"/>
      <c r="H425" s="45"/>
      <c r="I425" s="45"/>
      <c r="J425" s="45"/>
      <c r="K425" s="45"/>
      <c r="L425" s="45"/>
      <c r="U425" s="58" t="s">
        <v>2185</v>
      </c>
    </row>
    <row r="426" spans="1:21" ht="15.2" customHeight="1" x14ac:dyDescent="0.2">
      <c r="A426" s="6"/>
      <c r="B426" s="6"/>
      <c r="C426" s="6"/>
      <c r="D426" s="7"/>
      <c r="E426" s="9" t="s">
        <v>944</v>
      </c>
      <c r="F426" s="9" t="s">
        <v>945</v>
      </c>
      <c r="G426" s="9" t="s">
        <v>946</v>
      </c>
      <c r="H426" s="9" t="s">
        <v>947</v>
      </c>
      <c r="I426" s="9" t="s">
        <v>948</v>
      </c>
      <c r="J426" s="9" t="s">
        <v>949</v>
      </c>
      <c r="K426" s="6"/>
      <c r="L426" s="6"/>
      <c r="U426" s="58" t="s">
        <v>2185</v>
      </c>
    </row>
    <row r="427" spans="1:21" ht="15.2" customHeight="1" x14ac:dyDescent="0.2">
      <c r="A427" s="6"/>
      <c r="B427" s="6"/>
      <c r="C427" s="10"/>
      <c r="D427" s="11" t="s">
        <v>950</v>
      </c>
      <c r="E427" s="12"/>
      <c r="F427" s="13"/>
      <c r="G427" s="13"/>
      <c r="H427" s="13"/>
      <c r="I427" s="19" t="s">
        <v>951</v>
      </c>
      <c r="J427" s="18"/>
      <c r="K427" s="6"/>
      <c r="L427" s="6"/>
      <c r="U427" s="58" t="s">
        <v>2185</v>
      </c>
    </row>
    <row r="428" spans="1:21" ht="15.2" customHeight="1" x14ac:dyDescent="0.2">
      <c r="A428" s="6"/>
      <c r="B428" s="6"/>
      <c r="C428" s="10"/>
      <c r="D428" s="2" t="s">
        <v>952</v>
      </c>
      <c r="E428" s="1">
        <v>1</v>
      </c>
      <c r="F428" s="5"/>
      <c r="G428" s="5"/>
      <c r="H428" s="5"/>
      <c r="I428" s="14">
        <f>ROUND(E428,3)</f>
        <v>1</v>
      </c>
      <c r="J428" s="16">
        <f>SUM(I427:I428)</f>
        <v>1</v>
      </c>
      <c r="K428" s="6"/>
      <c r="L428" s="6"/>
      <c r="U428" s="58" t="s">
        <v>2185</v>
      </c>
    </row>
    <row r="429" spans="1:21" ht="15.4" customHeight="1" x14ac:dyDescent="0.2">
      <c r="A429" s="3" t="s">
        <v>953</v>
      </c>
      <c r="B429" s="2" t="s">
        <v>954</v>
      </c>
      <c r="C429" s="45" t="s">
        <v>955</v>
      </c>
      <c r="D429" s="45"/>
      <c r="E429" s="45"/>
      <c r="F429" s="45"/>
      <c r="G429" s="45"/>
      <c r="H429" s="45"/>
      <c r="I429" s="45"/>
      <c r="J429" s="4">
        <f>SUM(J432:J433)</f>
        <v>1</v>
      </c>
      <c r="K429" s="5">
        <f>ROUND(0*(1+L2/100),2)</f>
        <v>0</v>
      </c>
      <c r="L429" s="5">
        <f>ROUND(J429*K429,2)</f>
        <v>0</v>
      </c>
      <c r="U429" s="58" t="s">
        <v>2185</v>
      </c>
    </row>
    <row r="430" spans="1:21" ht="50.25" customHeight="1" x14ac:dyDescent="0.2">
      <c r="A430" s="6"/>
      <c r="B430" s="6"/>
      <c r="C430" s="45" t="s">
        <v>956</v>
      </c>
      <c r="D430" s="45"/>
      <c r="E430" s="45"/>
      <c r="F430" s="45"/>
      <c r="G430" s="45"/>
      <c r="H430" s="45"/>
      <c r="I430" s="45"/>
      <c r="J430" s="45"/>
      <c r="K430" s="45"/>
      <c r="L430" s="45"/>
      <c r="U430" s="58" t="s">
        <v>2185</v>
      </c>
    </row>
    <row r="431" spans="1:21" ht="15.2" customHeight="1" x14ac:dyDescent="0.2">
      <c r="A431" s="6"/>
      <c r="B431" s="6"/>
      <c r="C431" s="6"/>
      <c r="D431" s="7"/>
      <c r="E431" s="9" t="s">
        <v>957</v>
      </c>
      <c r="F431" s="9" t="s">
        <v>958</v>
      </c>
      <c r="G431" s="9" t="s">
        <v>959</v>
      </c>
      <c r="H431" s="9" t="s">
        <v>960</v>
      </c>
      <c r="I431" s="9" t="s">
        <v>961</v>
      </c>
      <c r="J431" s="9" t="s">
        <v>962</v>
      </c>
      <c r="K431" s="6"/>
      <c r="L431" s="6"/>
      <c r="U431" s="58" t="s">
        <v>2185</v>
      </c>
    </row>
    <row r="432" spans="1:21" ht="15.2" customHeight="1" x14ac:dyDescent="0.2">
      <c r="A432" s="6"/>
      <c r="B432" s="6"/>
      <c r="C432" s="10"/>
      <c r="D432" s="11" t="s">
        <v>963</v>
      </c>
      <c r="E432" s="12"/>
      <c r="F432" s="13"/>
      <c r="G432" s="13"/>
      <c r="H432" s="13"/>
      <c r="I432" s="19" t="s">
        <v>964</v>
      </c>
      <c r="J432" s="18"/>
      <c r="K432" s="6"/>
      <c r="L432" s="6"/>
      <c r="U432" s="58" t="s">
        <v>2185</v>
      </c>
    </row>
    <row r="433" spans="1:21" ht="15.2" customHeight="1" x14ac:dyDescent="0.2">
      <c r="A433" s="6"/>
      <c r="B433" s="6"/>
      <c r="C433" s="10"/>
      <c r="D433" s="2" t="s">
        <v>965</v>
      </c>
      <c r="E433" s="1">
        <v>1</v>
      </c>
      <c r="F433" s="5"/>
      <c r="G433" s="5"/>
      <c r="H433" s="5"/>
      <c r="I433" s="14">
        <f>ROUND(E433,3)</f>
        <v>1</v>
      </c>
      <c r="J433" s="16">
        <f>SUM(I432:I433)</f>
        <v>1</v>
      </c>
      <c r="K433" s="6"/>
      <c r="L433" s="6"/>
      <c r="U433" s="58" t="s">
        <v>2185</v>
      </c>
    </row>
    <row r="434" spans="1:21" ht="15.4" customHeight="1" x14ac:dyDescent="0.2">
      <c r="A434" s="3" t="s">
        <v>966</v>
      </c>
      <c r="B434" s="2" t="s">
        <v>967</v>
      </c>
      <c r="C434" s="45" t="s">
        <v>968</v>
      </c>
      <c r="D434" s="45"/>
      <c r="E434" s="45"/>
      <c r="F434" s="45"/>
      <c r="G434" s="45"/>
      <c r="H434" s="45"/>
      <c r="I434" s="45"/>
      <c r="J434" s="4">
        <f>SUM(J437:J438)</f>
        <v>1</v>
      </c>
      <c r="K434" s="5">
        <f>ROUND(0*(1+L2/100),2)</f>
        <v>0</v>
      </c>
      <c r="L434" s="5">
        <f>ROUND(J434*K434,2)</f>
        <v>0</v>
      </c>
      <c r="U434" s="58" t="s">
        <v>2185</v>
      </c>
    </row>
    <row r="435" spans="1:21" ht="58.5" customHeight="1" x14ac:dyDescent="0.2">
      <c r="A435" s="6"/>
      <c r="B435" s="6"/>
      <c r="C435" s="45" t="s">
        <v>969</v>
      </c>
      <c r="D435" s="45"/>
      <c r="E435" s="45"/>
      <c r="F435" s="45"/>
      <c r="G435" s="45"/>
      <c r="H435" s="45"/>
      <c r="I435" s="45"/>
      <c r="J435" s="45"/>
      <c r="K435" s="45"/>
      <c r="L435" s="45"/>
      <c r="U435" s="58" t="s">
        <v>2185</v>
      </c>
    </row>
    <row r="436" spans="1:21" ht="15.2" customHeight="1" x14ac:dyDescent="0.2">
      <c r="A436" s="6"/>
      <c r="B436" s="6"/>
      <c r="C436" s="6"/>
      <c r="D436" s="7"/>
      <c r="E436" s="9" t="s">
        <v>970</v>
      </c>
      <c r="F436" s="9" t="s">
        <v>971</v>
      </c>
      <c r="G436" s="9" t="s">
        <v>972</v>
      </c>
      <c r="H436" s="9" t="s">
        <v>973</v>
      </c>
      <c r="I436" s="9" t="s">
        <v>974</v>
      </c>
      <c r="J436" s="9" t="s">
        <v>975</v>
      </c>
      <c r="K436" s="6"/>
      <c r="L436" s="6"/>
      <c r="U436" s="58" t="s">
        <v>2185</v>
      </c>
    </row>
    <row r="437" spans="1:21" ht="15.2" customHeight="1" x14ac:dyDescent="0.2">
      <c r="A437" s="6"/>
      <c r="B437" s="6"/>
      <c r="C437" s="10"/>
      <c r="D437" s="11" t="s">
        <v>976</v>
      </c>
      <c r="E437" s="12"/>
      <c r="F437" s="13"/>
      <c r="G437" s="13"/>
      <c r="H437" s="13"/>
      <c r="I437" s="19" t="s">
        <v>977</v>
      </c>
      <c r="J437" s="18"/>
      <c r="K437" s="6"/>
      <c r="L437" s="6"/>
      <c r="U437" s="58" t="s">
        <v>2185</v>
      </c>
    </row>
    <row r="438" spans="1:21" ht="15.2" customHeight="1" x14ac:dyDescent="0.2">
      <c r="A438" s="6"/>
      <c r="B438" s="6"/>
      <c r="C438" s="10"/>
      <c r="D438" s="2" t="s">
        <v>978</v>
      </c>
      <c r="E438" s="1">
        <v>1</v>
      </c>
      <c r="F438" s="5"/>
      <c r="G438" s="5"/>
      <c r="H438" s="5"/>
      <c r="I438" s="14">
        <f>ROUND(E438,3)</f>
        <v>1</v>
      </c>
      <c r="J438" s="16">
        <f>SUM(I437:I438)</f>
        <v>1</v>
      </c>
      <c r="K438" s="6"/>
      <c r="L438" s="6"/>
      <c r="U438" s="58" t="s">
        <v>2185</v>
      </c>
    </row>
    <row r="439" spans="1:21" ht="15.4" customHeight="1" x14ac:dyDescent="0.2">
      <c r="A439" s="3" t="s">
        <v>979</v>
      </c>
      <c r="B439" s="2" t="s">
        <v>980</v>
      </c>
      <c r="C439" s="45" t="s">
        <v>981</v>
      </c>
      <c r="D439" s="45"/>
      <c r="E439" s="45"/>
      <c r="F439" s="45"/>
      <c r="G439" s="45"/>
      <c r="H439" s="45"/>
      <c r="I439" s="45"/>
      <c r="J439" s="4">
        <f>SUM(J442:J443)</f>
        <v>1</v>
      </c>
      <c r="K439" s="5">
        <f>ROUND(0*(1+L2/100),2)</f>
        <v>0</v>
      </c>
      <c r="L439" s="5">
        <f>ROUND(J439*K439,2)</f>
        <v>0</v>
      </c>
      <c r="U439" s="58" t="s">
        <v>2185</v>
      </c>
    </row>
    <row r="440" spans="1:21" ht="72.75" customHeight="1" x14ac:dyDescent="0.2">
      <c r="A440" s="6"/>
      <c r="B440" s="6"/>
      <c r="C440" s="45" t="s">
        <v>982</v>
      </c>
      <c r="D440" s="45"/>
      <c r="E440" s="45"/>
      <c r="F440" s="45"/>
      <c r="G440" s="45"/>
      <c r="H440" s="45"/>
      <c r="I440" s="45"/>
      <c r="J440" s="45"/>
      <c r="K440" s="45"/>
      <c r="L440" s="45"/>
      <c r="U440" s="58" t="s">
        <v>2185</v>
      </c>
    </row>
    <row r="441" spans="1:21" ht="15.2" customHeight="1" x14ac:dyDescent="0.2">
      <c r="A441" s="6"/>
      <c r="B441" s="6"/>
      <c r="C441" s="6"/>
      <c r="D441" s="7"/>
      <c r="E441" s="9" t="s">
        <v>983</v>
      </c>
      <c r="F441" s="9" t="s">
        <v>984</v>
      </c>
      <c r="G441" s="9" t="s">
        <v>985</v>
      </c>
      <c r="H441" s="9" t="s">
        <v>986</v>
      </c>
      <c r="I441" s="9" t="s">
        <v>987</v>
      </c>
      <c r="J441" s="9" t="s">
        <v>988</v>
      </c>
      <c r="K441" s="6"/>
      <c r="L441" s="6"/>
      <c r="U441" s="58" t="s">
        <v>2185</v>
      </c>
    </row>
    <row r="442" spans="1:21" ht="15.2" customHeight="1" x14ac:dyDescent="0.2">
      <c r="A442" s="6"/>
      <c r="B442" s="6"/>
      <c r="C442" s="10"/>
      <c r="D442" s="11" t="s">
        <v>989</v>
      </c>
      <c r="E442" s="12"/>
      <c r="F442" s="13"/>
      <c r="G442" s="13"/>
      <c r="H442" s="13"/>
      <c r="I442" s="19" t="s">
        <v>990</v>
      </c>
      <c r="J442" s="18"/>
      <c r="K442" s="6"/>
      <c r="L442" s="6"/>
      <c r="U442" s="58" t="s">
        <v>2185</v>
      </c>
    </row>
    <row r="443" spans="1:21" ht="15.2" customHeight="1" x14ac:dyDescent="0.2">
      <c r="A443" s="6"/>
      <c r="B443" s="6"/>
      <c r="C443" s="10"/>
      <c r="D443" s="2" t="s">
        <v>991</v>
      </c>
      <c r="E443" s="1">
        <v>1</v>
      </c>
      <c r="F443" s="5"/>
      <c r="G443" s="5"/>
      <c r="H443" s="5"/>
      <c r="I443" s="14">
        <f>ROUND(E443,3)</f>
        <v>1</v>
      </c>
      <c r="J443" s="16">
        <f>SUM(I442:I443)</f>
        <v>1</v>
      </c>
      <c r="K443" s="6"/>
      <c r="L443" s="6"/>
      <c r="U443" s="58" t="s">
        <v>2185</v>
      </c>
    </row>
    <row r="444" spans="1:21" ht="15.4" customHeight="1" x14ac:dyDescent="0.2">
      <c r="A444" s="3" t="s">
        <v>992</v>
      </c>
      <c r="B444" s="2" t="s">
        <v>993</v>
      </c>
      <c r="C444" s="45" t="s">
        <v>994</v>
      </c>
      <c r="D444" s="45"/>
      <c r="E444" s="45"/>
      <c r="F444" s="45"/>
      <c r="G444" s="45"/>
      <c r="H444" s="45"/>
      <c r="I444" s="45"/>
      <c r="J444" s="4">
        <f>SUM(J447:J448)</f>
        <v>1</v>
      </c>
      <c r="K444" s="5">
        <f>ROUND(0*(1+L2/100),2)</f>
        <v>0</v>
      </c>
      <c r="L444" s="5">
        <f>ROUND(J444*K444,2)</f>
        <v>0</v>
      </c>
      <c r="U444" s="58" t="s">
        <v>2185</v>
      </c>
    </row>
    <row r="445" spans="1:21" ht="104.25" customHeight="1" x14ac:dyDescent="0.2">
      <c r="A445" s="6"/>
      <c r="B445" s="6"/>
      <c r="C445" s="45" t="s">
        <v>995</v>
      </c>
      <c r="D445" s="45"/>
      <c r="E445" s="45"/>
      <c r="F445" s="45"/>
      <c r="G445" s="45"/>
      <c r="H445" s="45"/>
      <c r="I445" s="45"/>
      <c r="J445" s="45"/>
      <c r="K445" s="45"/>
      <c r="L445" s="45"/>
      <c r="U445" s="58" t="s">
        <v>2185</v>
      </c>
    </row>
    <row r="446" spans="1:21" ht="15.2" customHeight="1" x14ac:dyDescent="0.2">
      <c r="A446" s="6"/>
      <c r="B446" s="6"/>
      <c r="C446" s="6"/>
      <c r="D446" s="7"/>
      <c r="E446" s="9" t="s">
        <v>996</v>
      </c>
      <c r="F446" s="9" t="s">
        <v>997</v>
      </c>
      <c r="G446" s="9" t="s">
        <v>998</v>
      </c>
      <c r="H446" s="9" t="s">
        <v>999</v>
      </c>
      <c r="I446" s="9" t="s">
        <v>1000</v>
      </c>
      <c r="J446" s="9" t="s">
        <v>1001</v>
      </c>
      <c r="K446" s="6"/>
      <c r="L446" s="6"/>
      <c r="U446" s="58" t="s">
        <v>2185</v>
      </c>
    </row>
    <row r="447" spans="1:21" ht="15.2" customHeight="1" x14ac:dyDescent="0.2">
      <c r="A447" s="6"/>
      <c r="B447" s="6"/>
      <c r="C447" s="10"/>
      <c r="D447" s="11" t="s">
        <v>1002</v>
      </c>
      <c r="E447" s="12"/>
      <c r="F447" s="13"/>
      <c r="G447" s="13"/>
      <c r="H447" s="13"/>
      <c r="I447" s="19" t="s">
        <v>1003</v>
      </c>
      <c r="J447" s="18"/>
      <c r="K447" s="6"/>
      <c r="L447" s="6"/>
      <c r="U447" s="58" t="s">
        <v>2185</v>
      </c>
    </row>
    <row r="448" spans="1:21" ht="15.2" customHeight="1" x14ac:dyDescent="0.2">
      <c r="A448" s="6"/>
      <c r="B448" s="6"/>
      <c r="C448" s="10"/>
      <c r="D448" s="2" t="s">
        <v>1004</v>
      </c>
      <c r="E448" s="1">
        <v>1</v>
      </c>
      <c r="F448" s="5"/>
      <c r="G448" s="5"/>
      <c r="H448" s="5"/>
      <c r="I448" s="14">
        <f>ROUND(E448,3)</f>
        <v>1</v>
      </c>
      <c r="J448" s="16">
        <f>SUM(I447:I448)</f>
        <v>1</v>
      </c>
      <c r="K448" s="6"/>
      <c r="L448" s="6"/>
      <c r="U448" s="58" t="s">
        <v>2185</v>
      </c>
    </row>
    <row r="449" spans="1:21" ht="15.4" customHeight="1" x14ac:dyDescent="0.2">
      <c r="A449" s="3" t="s">
        <v>1005</v>
      </c>
      <c r="B449" s="2" t="s">
        <v>1006</v>
      </c>
      <c r="C449" s="45" t="s">
        <v>1007</v>
      </c>
      <c r="D449" s="45"/>
      <c r="E449" s="45"/>
      <c r="F449" s="45"/>
      <c r="G449" s="45"/>
      <c r="H449" s="45"/>
      <c r="I449" s="45"/>
      <c r="J449" s="4">
        <f>SUM(J452:J453)</f>
        <v>1</v>
      </c>
      <c r="K449" s="5">
        <f>ROUND(0*(1+L2/100),2)</f>
        <v>0</v>
      </c>
      <c r="L449" s="5">
        <f>ROUND(J449*K449,2)</f>
        <v>0</v>
      </c>
      <c r="U449" s="58" t="s">
        <v>2185</v>
      </c>
    </row>
    <row r="450" spans="1:21" ht="106.5" customHeight="1" x14ac:dyDescent="0.2">
      <c r="A450" s="6"/>
      <c r="B450" s="6"/>
      <c r="C450" s="45" t="s">
        <v>1008</v>
      </c>
      <c r="D450" s="45"/>
      <c r="E450" s="45"/>
      <c r="F450" s="45"/>
      <c r="G450" s="45"/>
      <c r="H450" s="45"/>
      <c r="I450" s="45"/>
      <c r="J450" s="45"/>
      <c r="K450" s="45"/>
      <c r="L450" s="45"/>
      <c r="U450" s="58" t="s">
        <v>2185</v>
      </c>
    </row>
    <row r="451" spans="1:21" ht="15.2" customHeight="1" x14ac:dyDescent="0.2">
      <c r="A451" s="6"/>
      <c r="B451" s="6"/>
      <c r="C451" s="6"/>
      <c r="D451" s="7"/>
      <c r="E451" s="9" t="s">
        <v>1009</v>
      </c>
      <c r="F451" s="9" t="s">
        <v>1010</v>
      </c>
      <c r="G451" s="9" t="s">
        <v>1011</v>
      </c>
      <c r="H451" s="9" t="s">
        <v>1012</v>
      </c>
      <c r="I451" s="9" t="s">
        <v>1013</v>
      </c>
      <c r="J451" s="9" t="s">
        <v>1014</v>
      </c>
      <c r="K451" s="6"/>
      <c r="L451" s="6"/>
      <c r="U451" s="58" t="s">
        <v>2185</v>
      </c>
    </row>
    <row r="452" spans="1:21" ht="15.2" customHeight="1" x14ac:dyDescent="0.2">
      <c r="A452" s="6"/>
      <c r="B452" s="6"/>
      <c r="C452" s="10"/>
      <c r="D452" s="11" t="s">
        <v>1015</v>
      </c>
      <c r="E452" s="12"/>
      <c r="F452" s="13"/>
      <c r="G452" s="13"/>
      <c r="H452" s="13"/>
      <c r="I452" s="19" t="s">
        <v>1016</v>
      </c>
      <c r="J452" s="18"/>
      <c r="K452" s="6"/>
      <c r="L452" s="6"/>
      <c r="U452" s="58" t="s">
        <v>2185</v>
      </c>
    </row>
    <row r="453" spans="1:21" ht="15.2" customHeight="1" x14ac:dyDescent="0.2">
      <c r="A453" s="6"/>
      <c r="B453" s="6"/>
      <c r="C453" s="10"/>
      <c r="D453" s="2" t="s">
        <v>1017</v>
      </c>
      <c r="E453" s="1">
        <v>1</v>
      </c>
      <c r="F453" s="5"/>
      <c r="G453" s="5"/>
      <c r="H453" s="5"/>
      <c r="I453" s="14">
        <f>ROUND(E453,3)</f>
        <v>1</v>
      </c>
      <c r="J453" s="16">
        <f>SUM(I452:I453)</f>
        <v>1</v>
      </c>
      <c r="K453" s="6"/>
      <c r="L453" s="6"/>
      <c r="U453" s="58" t="s">
        <v>2185</v>
      </c>
    </row>
    <row r="454" spans="1:21" ht="15.4" customHeight="1" x14ac:dyDescent="0.2">
      <c r="A454" s="3" t="s">
        <v>1018</v>
      </c>
      <c r="B454" s="2" t="s">
        <v>1019</v>
      </c>
      <c r="C454" s="45" t="s">
        <v>1020</v>
      </c>
      <c r="D454" s="45"/>
      <c r="E454" s="45"/>
      <c r="F454" s="45"/>
      <c r="G454" s="45"/>
      <c r="H454" s="45"/>
      <c r="I454" s="45"/>
      <c r="J454" s="4">
        <f>SUM(J457:J458)</f>
        <v>1</v>
      </c>
      <c r="K454" s="5">
        <f>ROUND(0*(1+L2/100),2)</f>
        <v>0</v>
      </c>
      <c r="L454" s="5">
        <f>ROUND(J454*K454,2)</f>
        <v>0</v>
      </c>
      <c r="U454" s="58" t="s">
        <v>2185</v>
      </c>
    </row>
    <row r="455" spans="1:21" ht="52.5" customHeight="1" x14ac:dyDescent="0.2">
      <c r="A455" s="6"/>
      <c r="B455" s="6"/>
      <c r="C455" s="45" t="s">
        <v>1021</v>
      </c>
      <c r="D455" s="45"/>
      <c r="E455" s="45"/>
      <c r="F455" s="45"/>
      <c r="G455" s="45"/>
      <c r="H455" s="45"/>
      <c r="I455" s="45"/>
      <c r="J455" s="45"/>
      <c r="K455" s="45"/>
      <c r="L455" s="45"/>
      <c r="U455" s="58" t="s">
        <v>2185</v>
      </c>
    </row>
    <row r="456" spans="1:21" ht="15.2" customHeight="1" x14ac:dyDescent="0.2">
      <c r="A456" s="6"/>
      <c r="B456" s="6"/>
      <c r="C456" s="6"/>
      <c r="D456" s="7"/>
      <c r="E456" s="9" t="s">
        <v>1022</v>
      </c>
      <c r="F456" s="9" t="s">
        <v>1023</v>
      </c>
      <c r="G456" s="9" t="s">
        <v>1024</v>
      </c>
      <c r="H456" s="9" t="s">
        <v>1025</v>
      </c>
      <c r="I456" s="9" t="s">
        <v>1026</v>
      </c>
      <c r="J456" s="9" t="s">
        <v>1027</v>
      </c>
      <c r="K456" s="6"/>
      <c r="L456" s="6"/>
      <c r="U456" s="58" t="s">
        <v>2185</v>
      </c>
    </row>
    <row r="457" spans="1:21" ht="15.2" customHeight="1" x14ac:dyDescent="0.2">
      <c r="A457" s="6"/>
      <c r="B457" s="6"/>
      <c r="C457" s="10"/>
      <c r="D457" s="11" t="s">
        <v>1028</v>
      </c>
      <c r="E457" s="12"/>
      <c r="F457" s="13"/>
      <c r="G457" s="13"/>
      <c r="H457" s="13"/>
      <c r="I457" s="19" t="s">
        <v>1029</v>
      </c>
      <c r="J457" s="18"/>
      <c r="K457" s="6"/>
      <c r="L457" s="6"/>
      <c r="U457" s="58" t="s">
        <v>2185</v>
      </c>
    </row>
    <row r="458" spans="1:21" ht="15.2" customHeight="1" x14ac:dyDescent="0.2">
      <c r="A458" s="6"/>
      <c r="B458" s="6"/>
      <c r="C458" s="10"/>
      <c r="D458" s="2" t="s">
        <v>1030</v>
      </c>
      <c r="E458" s="1">
        <v>1</v>
      </c>
      <c r="F458" s="5"/>
      <c r="G458" s="5"/>
      <c r="H458" s="5"/>
      <c r="I458" s="14">
        <f>ROUND(E458,3)</f>
        <v>1</v>
      </c>
      <c r="J458" s="16">
        <f>SUM(I457:I458)</f>
        <v>1</v>
      </c>
      <c r="K458" s="6"/>
      <c r="L458" s="6"/>
      <c r="U458" s="58" t="s">
        <v>2185</v>
      </c>
    </row>
    <row r="459" spans="1:21" ht="15.4" customHeight="1" x14ac:dyDescent="0.2">
      <c r="A459" s="3" t="s">
        <v>1031</v>
      </c>
      <c r="B459" s="2" t="s">
        <v>1032</v>
      </c>
      <c r="C459" s="45" t="s">
        <v>1033</v>
      </c>
      <c r="D459" s="45"/>
      <c r="E459" s="45"/>
      <c r="F459" s="45"/>
      <c r="G459" s="45"/>
      <c r="H459" s="45"/>
      <c r="I459" s="45"/>
      <c r="J459" s="4">
        <f>SUM(J462:J463)</f>
        <v>1</v>
      </c>
      <c r="K459" s="5">
        <f>ROUND(0*(1+L2/100),2)</f>
        <v>0</v>
      </c>
      <c r="L459" s="5">
        <f>ROUND(J459*K459,2)</f>
        <v>0</v>
      </c>
      <c r="U459" s="58" t="s">
        <v>2185</v>
      </c>
    </row>
    <row r="460" spans="1:21" ht="53.25" customHeight="1" x14ac:dyDescent="0.2">
      <c r="A460" s="6"/>
      <c r="B460" s="6"/>
      <c r="C460" s="45" t="s">
        <v>1034</v>
      </c>
      <c r="D460" s="45"/>
      <c r="E460" s="45"/>
      <c r="F460" s="45"/>
      <c r="G460" s="45"/>
      <c r="H460" s="45"/>
      <c r="I460" s="45"/>
      <c r="J460" s="45"/>
      <c r="K460" s="45"/>
      <c r="L460" s="45"/>
      <c r="U460" s="58" t="s">
        <v>2185</v>
      </c>
    </row>
    <row r="461" spans="1:21" ht="15.2" customHeight="1" x14ac:dyDescent="0.2">
      <c r="A461" s="6"/>
      <c r="B461" s="6"/>
      <c r="C461" s="6"/>
      <c r="D461" s="7"/>
      <c r="E461" s="9" t="s">
        <v>1035</v>
      </c>
      <c r="F461" s="9" t="s">
        <v>1036</v>
      </c>
      <c r="G461" s="9" t="s">
        <v>1037</v>
      </c>
      <c r="H461" s="9" t="s">
        <v>1038</v>
      </c>
      <c r="I461" s="9" t="s">
        <v>1039</v>
      </c>
      <c r="J461" s="9" t="s">
        <v>1040</v>
      </c>
      <c r="K461" s="6"/>
      <c r="L461" s="6"/>
      <c r="U461" s="58" t="s">
        <v>2185</v>
      </c>
    </row>
    <row r="462" spans="1:21" ht="15.2" customHeight="1" x14ac:dyDescent="0.2">
      <c r="A462" s="6"/>
      <c r="B462" s="6"/>
      <c r="C462" s="10"/>
      <c r="D462" s="11" t="s">
        <v>1041</v>
      </c>
      <c r="E462" s="12"/>
      <c r="F462" s="13"/>
      <c r="G462" s="13"/>
      <c r="H462" s="13"/>
      <c r="I462" s="19" t="s">
        <v>1042</v>
      </c>
      <c r="J462" s="18"/>
      <c r="K462" s="6"/>
      <c r="L462" s="6"/>
      <c r="U462" s="58" t="s">
        <v>2185</v>
      </c>
    </row>
    <row r="463" spans="1:21" ht="15.2" customHeight="1" x14ac:dyDescent="0.2">
      <c r="A463" s="6"/>
      <c r="B463" s="6"/>
      <c r="C463" s="10"/>
      <c r="D463" s="2" t="s">
        <v>1043</v>
      </c>
      <c r="E463" s="1">
        <v>1</v>
      </c>
      <c r="F463" s="5"/>
      <c r="G463" s="5"/>
      <c r="H463" s="5"/>
      <c r="I463" s="14">
        <f>ROUND(E463,3)</f>
        <v>1</v>
      </c>
      <c r="J463" s="16">
        <f>SUM(I462:I463)</f>
        <v>1</v>
      </c>
      <c r="K463" s="6"/>
      <c r="L463" s="6"/>
      <c r="U463" s="58" t="s">
        <v>2185</v>
      </c>
    </row>
    <row r="464" spans="1:21" ht="15.4" customHeight="1" x14ac:dyDescent="0.2">
      <c r="A464" s="3" t="s">
        <v>1044</v>
      </c>
      <c r="B464" s="2" t="s">
        <v>1045</v>
      </c>
      <c r="C464" s="45" t="s">
        <v>1046</v>
      </c>
      <c r="D464" s="45"/>
      <c r="E464" s="45"/>
      <c r="F464" s="45"/>
      <c r="G464" s="45"/>
      <c r="H464" s="45"/>
      <c r="I464" s="45"/>
      <c r="J464" s="4">
        <f>SUM(J467:J468)</f>
        <v>1</v>
      </c>
      <c r="K464" s="5">
        <f>ROUND(0*(1+L2/100),2)</f>
        <v>0</v>
      </c>
      <c r="L464" s="5">
        <f>ROUND(J464*K464,2)</f>
        <v>0</v>
      </c>
      <c r="U464" s="58" t="s">
        <v>2185</v>
      </c>
    </row>
    <row r="465" spans="1:22" ht="61.5" customHeight="1" x14ac:dyDescent="0.2">
      <c r="A465" s="6"/>
      <c r="B465" s="6"/>
      <c r="C465" s="45" t="s">
        <v>1047</v>
      </c>
      <c r="D465" s="45"/>
      <c r="E465" s="45"/>
      <c r="F465" s="45"/>
      <c r="G465" s="45"/>
      <c r="H465" s="45"/>
      <c r="I465" s="45"/>
      <c r="J465" s="45"/>
      <c r="K465" s="45"/>
      <c r="L465" s="45"/>
      <c r="U465" s="58" t="s">
        <v>2185</v>
      </c>
    </row>
    <row r="466" spans="1:22" ht="15.2" customHeight="1" x14ac:dyDescent="0.2">
      <c r="A466" s="6"/>
      <c r="B466" s="6"/>
      <c r="C466" s="6"/>
      <c r="D466" s="7"/>
      <c r="E466" s="9" t="s">
        <v>1048</v>
      </c>
      <c r="F466" s="9" t="s">
        <v>1049</v>
      </c>
      <c r="G466" s="9" t="s">
        <v>1050</v>
      </c>
      <c r="H466" s="9" t="s">
        <v>1051</v>
      </c>
      <c r="I466" s="9" t="s">
        <v>1052</v>
      </c>
      <c r="J466" s="9" t="s">
        <v>1053</v>
      </c>
      <c r="K466" s="6"/>
      <c r="L466" s="6"/>
      <c r="U466" s="58" t="s">
        <v>2185</v>
      </c>
    </row>
    <row r="467" spans="1:22" ht="15.2" customHeight="1" x14ac:dyDescent="0.2">
      <c r="A467" s="6"/>
      <c r="B467" s="6"/>
      <c r="C467" s="10"/>
      <c r="D467" s="11" t="s">
        <v>1054</v>
      </c>
      <c r="E467" s="12"/>
      <c r="F467" s="13"/>
      <c r="G467" s="13"/>
      <c r="H467" s="13"/>
      <c r="I467" s="19" t="s">
        <v>1055</v>
      </c>
      <c r="J467" s="18"/>
      <c r="K467" s="6"/>
      <c r="L467" s="6"/>
      <c r="U467" s="58" t="s">
        <v>2185</v>
      </c>
    </row>
    <row r="468" spans="1:22" ht="15.2" customHeight="1" x14ac:dyDescent="0.2">
      <c r="A468" s="6"/>
      <c r="B468" s="6"/>
      <c r="C468" s="10"/>
      <c r="D468" s="2" t="s">
        <v>1056</v>
      </c>
      <c r="E468" s="1">
        <v>1</v>
      </c>
      <c r="F468" s="5"/>
      <c r="G468" s="5"/>
      <c r="H468" s="5"/>
      <c r="I468" s="14">
        <f>ROUND(E468,3)</f>
        <v>1</v>
      </c>
      <c r="J468" s="16">
        <f>SUM(I467:I468)</f>
        <v>1</v>
      </c>
      <c r="K468" s="6"/>
      <c r="L468" s="6"/>
      <c r="U468" s="58" t="s">
        <v>2185</v>
      </c>
    </row>
    <row r="469" spans="1:22" ht="15.4" customHeight="1" x14ac:dyDescent="0.2">
      <c r="A469" s="3" t="s">
        <v>1057</v>
      </c>
      <c r="B469" s="2" t="s">
        <v>1058</v>
      </c>
      <c r="C469" s="45" t="s">
        <v>1059</v>
      </c>
      <c r="D469" s="45"/>
      <c r="E469" s="45"/>
      <c r="F469" s="45"/>
      <c r="G469" s="45"/>
      <c r="H469" s="45"/>
      <c r="I469" s="45"/>
      <c r="J469" s="4">
        <f>SUM(J472:J473)</f>
        <v>1</v>
      </c>
      <c r="K469" s="5">
        <f>ROUND(0*(1+L2/100),2)</f>
        <v>0</v>
      </c>
      <c r="L469" s="5">
        <f>ROUND(J469*K469,2)</f>
        <v>0</v>
      </c>
      <c r="U469" s="58" t="s">
        <v>2185</v>
      </c>
    </row>
    <row r="470" spans="1:22" ht="63.75" customHeight="1" x14ac:dyDescent="0.2">
      <c r="A470" s="6"/>
      <c r="B470" s="6"/>
      <c r="C470" s="45" t="s">
        <v>1060</v>
      </c>
      <c r="D470" s="45"/>
      <c r="E470" s="45"/>
      <c r="F470" s="45"/>
      <c r="G470" s="45"/>
      <c r="H470" s="45"/>
      <c r="I470" s="45"/>
      <c r="J470" s="45"/>
      <c r="K470" s="45"/>
      <c r="L470" s="45"/>
      <c r="U470" s="58" t="s">
        <v>2185</v>
      </c>
    </row>
    <row r="471" spans="1:22" ht="15.2" customHeight="1" x14ac:dyDescent="0.2">
      <c r="A471" s="6"/>
      <c r="B471" s="6"/>
      <c r="C471" s="6"/>
      <c r="D471" s="7"/>
      <c r="E471" s="9" t="s">
        <v>1061</v>
      </c>
      <c r="F471" s="9" t="s">
        <v>1062</v>
      </c>
      <c r="G471" s="9" t="s">
        <v>1063</v>
      </c>
      <c r="H471" s="9" t="s">
        <v>1064</v>
      </c>
      <c r="I471" s="9" t="s">
        <v>1065</v>
      </c>
      <c r="J471" s="9" t="s">
        <v>1066</v>
      </c>
      <c r="K471" s="6"/>
      <c r="L471" s="6"/>
      <c r="U471" s="58" t="s">
        <v>2185</v>
      </c>
    </row>
    <row r="472" spans="1:22" ht="15.2" customHeight="1" x14ac:dyDescent="0.2">
      <c r="A472" s="6"/>
      <c r="B472" s="6"/>
      <c r="C472" s="10"/>
      <c r="D472" s="11" t="s">
        <v>1067</v>
      </c>
      <c r="E472" s="12"/>
      <c r="F472" s="13"/>
      <c r="G472" s="13"/>
      <c r="H472" s="13"/>
      <c r="I472" s="19" t="s">
        <v>1068</v>
      </c>
      <c r="J472" s="18"/>
      <c r="K472" s="6"/>
      <c r="L472" s="6"/>
      <c r="U472" s="58" t="s">
        <v>2185</v>
      </c>
    </row>
    <row r="473" spans="1:22" ht="15.2" customHeight="1" x14ac:dyDescent="0.2">
      <c r="A473" s="6"/>
      <c r="B473" s="6"/>
      <c r="C473" s="10"/>
      <c r="D473" s="2" t="s">
        <v>1069</v>
      </c>
      <c r="E473" s="1">
        <v>1</v>
      </c>
      <c r="F473" s="5"/>
      <c r="G473" s="5"/>
      <c r="H473" s="5"/>
      <c r="I473" s="14">
        <f>ROUND(E473,3)</f>
        <v>1</v>
      </c>
      <c r="J473" s="16">
        <f>SUM(I472:I473)</f>
        <v>1</v>
      </c>
      <c r="K473" s="6"/>
      <c r="L473" s="6"/>
      <c r="U473" s="58" t="s">
        <v>2185</v>
      </c>
    </row>
    <row r="474" spans="1:22" ht="15.4" hidden="1" customHeight="1" x14ac:dyDescent="0.2">
      <c r="A474" s="37" t="s">
        <v>1070</v>
      </c>
      <c r="B474" s="34"/>
      <c r="C474" s="46" t="s">
        <v>1071</v>
      </c>
      <c r="D474" s="46"/>
      <c r="E474" s="46"/>
      <c r="F474" s="46"/>
      <c r="G474" s="46"/>
      <c r="H474" s="46"/>
      <c r="I474" s="46"/>
      <c r="J474" s="34"/>
      <c r="K474" s="35">
        <v>0</v>
      </c>
      <c r="L474" s="35">
        <f>ROUND(K474,2)</f>
        <v>0</v>
      </c>
      <c r="V474" s="58" t="s">
        <v>2186</v>
      </c>
    </row>
    <row r="475" spans="1:22" ht="15.4" hidden="1" customHeight="1" x14ac:dyDescent="0.2">
      <c r="A475" s="3" t="s">
        <v>1072</v>
      </c>
      <c r="B475" s="2" t="s">
        <v>1073</v>
      </c>
      <c r="C475" s="45" t="s">
        <v>1074</v>
      </c>
      <c r="D475" s="45"/>
      <c r="E475" s="45"/>
      <c r="F475" s="45"/>
      <c r="G475" s="45"/>
      <c r="H475" s="45"/>
      <c r="I475" s="45"/>
      <c r="J475" s="4">
        <f>SUM(J478:J478)</f>
        <v>1</v>
      </c>
      <c r="K475" s="5">
        <f>ROUND(0*(1+L2/100),2)</f>
        <v>0</v>
      </c>
      <c r="L475" s="5">
        <f>ROUND(J475*K475,2)</f>
        <v>0</v>
      </c>
      <c r="V475" s="58" t="s">
        <v>2186</v>
      </c>
    </row>
    <row r="476" spans="1:22" ht="29.25" hidden="1" customHeight="1" x14ac:dyDescent="0.2">
      <c r="A476" s="6"/>
      <c r="B476" s="6"/>
      <c r="C476" s="45" t="s">
        <v>1075</v>
      </c>
      <c r="D476" s="45"/>
      <c r="E476" s="45"/>
      <c r="F476" s="45"/>
      <c r="G476" s="45"/>
      <c r="H476" s="45"/>
      <c r="I476" s="45"/>
      <c r="J476" s="45"/>
      <c r="K476" s="45"/>
      <c r="L476" s="45"/>
      <c r="V476" s="58" t="s">
        <v>2186</v>
      </c>
    </row>
    <row r="477" spans="1:22" ht="15.2" hidden="1" customHeight="1" x14ac:dyDescent="0.2">
      <c r="A477" s="6"/>
      <c r="B477" s="6"/>
      <c r="C477" s="6"/>
      <c r="D477" s="7"/>
      <c r="E477" s="9" t="s">
        <v>1076</v>
      </c>
      <c r="F477" s="9" t="s">
        <v>1077</v>
      </c>
      <c r="G477" s="9" t="s">
        <v>1078</v>
      </c>
      <c r="H477" s="9" t="s">
        <v>1079</v>
      </c>
      <c r="I477" s="9" t="s">
        <v>1080</v>
      </c>
      <c r="J477" s="9" t="s">
        <v>1081</v>
      </c>
      <c r="K477" s="6"/>
      <c r="L477" s="6"/>
      <c r="V477" s="58" t="s">
        <v>2186</v>
      </c>
    </row>
    <row r="478" spans="1:22" ht="22.5" hidden="1" x14ac:dyDescent="0.2">
      <c r="A478" s="6"/>
      <c r="B478" s="6"/>
      <c r="C478" s="10"/>
      <c r="D478" s="11" t="s">
        <v>1082</v>
      </c>
      <c r="E478" s="12">
        <v>1</v>
      </c>
      <c r="F478" s="13"/>
      <c r="G478" s="13"/>
      <c r="H478" s="13"/>
      <c r="I478" s="15">
        <f>ROUND(E478,3)</f>
        <v>1</v>
      </c>
      <c r="J478" s="17">
        <f>SUM(I478:I478)</f>
        <v>1</v>
      </c>
      <c r="K478" s="6"/>
      <c r="L478" s="6"/>
      <c r="V478" s="58" t="s">
        <v>2186</v>
      </c>
    </row>
    <row r="479" spans="1:22" ht="15.4" hidden="1" customHeight="1" x14ac:dyDescent="0.2">
      <c r="A479" s="3" t="s">
        <v>1083</v>
      </c>
      <c r="B479" s="2" t="s">
        <v>1084</v>
      </c>
      <c r="C479" s="45" t="s">
        <v>1085</v>
      </c>
      <c r="D479" s="45"/>
      <c r="E479" s="45"/>
      <c r="F479" s="45"/>
      <c r="G479" s="45"/>
      <c r="H479" s="45"/>
      <c r="I479" s="45"/>
      <c r="J479" s="4">
        <f>ROUND(1,2)</f>
        <v>1</v>
      </c>
      <c r="K479" s="5">
        <f>ROUND(0*(1+L2/100),2)</f>
        <v>0</v>
      </c>
      <c r="L479" s="5">
        <f>ROUND(J479*K479,2)</f>
        <v>0</v>
      </c>
      <c r="V479" s="58" t="s">
        <v>2186</v>
      </c>
    </row>
    <row r="480" spans="1:22" ht="39.75" hidden="1" customHeight="1" x14ac:dyDescent="0.2">
      <c r="A480" s="6"/>
      <c r="B480" s="6"/>
      <c r="C480" s="45" t="s">
        <v>1086</v>
      </c>
      <c r="D480" s="45"/>
      <c r="E480" s="45"/>
      <c r="F480" s="45"/>
      <c r="G480" s="45"/>
      <c r="H480" s="45"/>
      <c r="I480" s="45"/>
      <c r="J480" s="45"/>
      <c r="K480" s="45"/>
      <c r="L480" s="45"/>
      <c r="V480" s="58" t="s">
        <v>2186</v>
      </c>
    </row>
    <row r="481" spans="1:22" ht="15.4" hidden="1" customHeight="1" x14ac:dyDescent="0.2">
      <c r="A481" s="3" t="s">
        <v>1087</v>
      </c>
      <c r="B481" s="2" t="s">
        <v>1088</v>
      </c>
      <c r="C481" s="45" t="s">
        <v>1089</v>
      </c>
      <c r="D481" s="45"/>
      <c r="E481" s="45"/>
      <c r="F481" s="45"/>
      <c r="G481" s="45"/>
      <c r="H481" s="45"/>
      <c r="I481" s="45"/>
      <c r="J481" s="4">
        <f>ROUND(1,2)</f>
        <v>1</v>
      </c>
      <c r="K481" s="5">
        <f>ROUND(0*(1+L2/100),2)</f>
        <v>0</v>
      </c>
      <c r="L481" s="5">
        <f>ROUND(J481*K481,2)</f>
        <v>0</v>
      </c>
      <c r="V481" s="58" t="s">
        <v>2186</v>
      </c>
    </row>
    <row r="482" spans="1:22" ht="39" hidden="1" customHeight="1" x14ac:dyDescent="0.2">
      <c r="A482" s="6"/>
      <c r="B482" s="6"/>
      <c r="C482" s="45" t="s">
        <v>1090</v>
      </c>
      <c r="D482" s="45"/>
      <c r="E482" s="45"/>
      <c r="F482" s="45"/>
      <c r="G482" s="45"/>
      <c r="H482" s="45"/>
      <c r="I482" s="45"/>
      <c r="J482" s="45"/>
      <c r="K482" s="45"/>
      <c r="L482" s="45"/>
      <c r="V482" s="58" t="s">
        <v>2186</v>
      </c>
    </row>
    <row r="483" spans="1:22" ht="15.4" hidden="1" customHeight="1" x14ac:dyDescent="0.2">
      <c r="A483" s="37" t="s">
        <v>1091</v>
      </c>
      <c r="B483" s="34"/>
      <c r="C483" s="46" t="s">
        <v>1092</v>
      </c>
      <c r="D483" s="46"/>
      <c r="E483" s="46"/>
      <c r="F483" s="46"/>
      <c r="G483" s="46"/>
      <c r="H483" s="46"/>
      <c r="I483" s="46"/>
      <c r="J483" s="34"/>
      <c r="K483" s="35">
        <v>0</v>
      </c>
      <c r="L483" s="35">
        <f>ROUND(K483,2)</f>
        <v>0</v>
      </c>
      <c r="T483" s="58" t="s">
        <v>2184</v>
      </c>
      <c r="V483" s="58" t="s">
        <v>2186</v>
      </c>
    </row>
    <row r="484" spans="1:22" ht="15.4" hidden="1" customHeight="1" x14ac:dyDescent="0.2">
      <c r="A484" s="3" t="s">
        <v>1093</v>
      </c>
      <c r="B484" s="2" t="s">
        <v>1094</v>
      </c>
      <c r="C484" s="45" t="s">
        <v>1095</v>
      </c>
      <c r="D484" s="45"/>
      <c r="E484" s="45"/>
      <c r="F484" s="45"/>
      <c r="G484" s="45"/>
      <c r="H484" s="45"/>
      <c r="I484" s="45"/>
      <c r="J484" s="4">
        <f>SUM(J487:J490)</f>
        <v>3</v>
      </c>
      <c r="K484" s="5">
        <f>ROUND(0*(1+L2/100),2)</f>
        <v>0</v>
      </c>
      <c r="L484" s="5">
        <f>ROUND(J484*K484,2)</f>
        <v>0</v>
      </c>
      <c r="T484" s="58" t="s">
        <v>2184</v>
      </c>
    </row>
    <row r="485" spans="1:22" ht="72.75" hidden="1" customHeight="1" x14ac:dyDescent="0.2">
      <c r="A485" s="6"/>
      <c r="B485" s="6"/>
      <c r="C485" s="45" t="s">
        <v>1096</v>
      </c>
      <c r="D485" s="45"/>
      <c r="E485" s="45"/>
      <c r="F485" s="45"/>
      <c r="G485" s="45"/>
      <c r="H485" s="45"/>
      <c r="I485" s="45"/>
      <c r="J485" s="45"/>
      <c r="K485" s="45"/>
      <c r="L485" s="45"/>
      <c r="T485" s="58" t="s">
        <v>2184</v>
      </c>
    </row>
    <row r="486" spans="1:22" ht="15.2" hidden="1" customHeight="1" x14ac:dyDescent="0.2">
      <c r="A486" s="6"/>
      <c r="B486" s="6"/>
      <c r="C486" s="6"/>
      <c r="D486" s="7"/>
      <c r="E486" s="9" t="s">
        <v>1097</v>
      </c>
      <c r="F486" s="9" t="s">
        <v>1098</v>
      </c>
      <c r="G486" s="9" t="s">
        <v>1099</v>
      </c>
      <c r="H486" s="9" t="s">
        <v>1100</v>
      </c>
      <c r="I486" s="9" t="s">
        <v>1101</v>
      </c>
      <c r="J486" s="9" t="s">
        <v>1102</v>
      </c>
      <c r="K486" s="6"/>
      <c r="L486" s="6"/>
      <c r="T486" s="58" t="s">
        <v>2184</v>
      </c>
    </row>
    <row r="487" spans="1:22" ht="15.2" hidden="1" customHeight="1" x14ac:dyDescent="0.2">
      <c r="A487" s="6"/>
      <c r="B487" s="6"/>
      <c r="C487" s="10"/>
      <c r="D487" s="11" t="s">
        <v>1103</v>
      </c>
      <c r="E487" s="12"/>
      <c r="F487" s="13"/>
      <c r="G487" s="13"/>
      <c r="H487" s="13"/>
      <c r="I487" s="19" t="s">
        <v>1104</v>
      </c>
      <c r="J487" s="18"/>
      <c r="K487" s="6"/>
      <c r="L487" s="6"/>
      <c r="T487" s="58" t="s">
        <v>2184</v>
      </c>
    </row>
    <row r="488" spans="1:22" ht="15.2" hidden="1" customHeight="1" x14ac:dyDescent="0.2">
      <c r="A488" s="6"/>
      <c r="B488" s="6"/>
      <c r="C488" s="10"/>
      <c r="D488" s="2" t="s">
        <v>1105</v>
      </c>
      <c r="E488" s="1">
        <v>1</v>
      </c>
      <c r="F488" s="5"/>
      <c r="G488" s="5"/>
      <c r="H488" s="5"/>
      <c r="I488" s="14">
        <f>ROUND(E488,3)</f>
        <v>1</v>
      </c>
      <c r="J488" s="6"/>
      <c r="K488" s="6"/>
      <c r="L488" s="6"/>
      <c r="T488" s="58" t="s">
        <v>2184</v>
      </c>
    </row>
    <row r="489" spans="1:22" ht="15.2" hidden="1" customHeight="1" x14ac:dyDescent="0.2">
      <c r="A489" s="6"/>
      <c r="B489" s="6"/>
      <c r="C489" s="10"/>
      <c r="D489" s="2" t="s">
        <v>1106</v>
      </c>
      <c r="E489" s="1">
        <v>1</v>
      </c>
      <c r="F489" s="5"/>
      <c r="G489" s="5"/>
      <c r="H489" s="5"/>
      <c r="I489" s="14">
        <f>ROUND(E489,3)</f>
        <v>1</v>
      </c>
      <c r="J489" s="6"/>
      <c r="K489" s="6"/>
      <c r="L489" s="6"/>
      <c r="T489" s="58" t="s">
        <v>2184</v>
      </c>
    </row>
    <row r="490" spans="1:22" ht="15.2" hidden="1" customHeight="1" x14ac:dyDescent="0.2">
      <c r="A490" s="6"/>
      <c r="B490" s="6"/>
      <c r="C490" s="10"/>
      <c r="D490" s="2" t="s">
        <v>1107</v>
      </c>
      <c r="E490" s="1">
        <v>1</v>
      </c>
      <c r="F490" s="5"/>
      <c r="G490" s="5"/>
      <c r="H490" s="5"/>
      <c r="I490" s="14">
        <f>ROUND(E490,3)</f>
        <v>1</v>
      </c>
      <c r="J490" s="16">
        <f>SUM(I487:I490)</f>
        <v>3</v>
      </c>
      <c r="K490" s="6"/>
      <c r="L490" s="6"/>
      <c r="T490" s="58" t="s">
        <v>2184</v>
      </c>
    </row>
    <row r="491" spans="1:22" ht="15.4" hidden="1" customHeight="1" x14ac:dyDescent="0.2">
      <c r="A491" s="3" t="s">
        <v>1108</v>
      </c>
      <c r="B491" s="2" t="s">
        <v>1109</v>
      </c>
      <c r="C491" s="45" t="s">
        <v>1110</v>
      </c>
      <c r="D491" s="45"/>
      <c r="E491" s="45"/>
      <c r="F491" s="45"/>
      <c r="G491" s="45"/>
      <c r="H491" s="45"/>
      <c r="I491" s="45"/>
      <c r="J491" s="4">
        <f>SUM(J494:J497)</f>
        <v>3</v>
      </c>
      <c r="K491" s="5">
        <f>ROUND(0*(1+L2/100),2)</f>
        <v>0</v>
      </c>
      <c r="L491" s="5">
        <f>ROUND(J491*K491,2)</f>
        <v>0</v>
      </c>
      <c r="T491" s="58" t="s">
        <v>2184</v>
      </c>
      <c r="V491" s="58" t="s">
        <v>2186</v>
      </c>
    </row>
    <row r="492" spans="1:22" ht="87.75" hidden="1" customHeight="1" x14ac:dyDescent="0.2">
      <c r="A492" s="6"/>
      <c r="B492" s="6"/>
      <c r="C492" s="45" t="s">
        <v>1111</v>
      </c>
      <c r="D492" s="45"/>
      <c r="E492" s="45"/>
      <c r="F492" s="45"/>
      <c r="G492" s="45"/>
      <c r="H492" s="45"/>
      <c r="I492" s="45"/>
      <c r="J492" s="45"/>
      <c r="K492" s="45"/>
      <c r="L492" s="45"/>
      <c r="T492" s="58" t="s">
        <v>2184</v>
      </c>
      <c r="V492" s="58" t="s">
        <v>2186</v>
      </c>
    </row>
    <row r="493" spans="1:22" ht="15.2" hidden="1" customHeight="1" x14ac:dyDescent="0.2">
      <c r="A493" s="6"/>
      <c r="B493" s="6"/>
      <c r="C493" s="6"/>
      <c r="D493" s="7"/>
      <c r="E493" s="9" t="s">
        <v>1112</v>
      </c>
      <c r="F493" s="9" t="s">
        <v>1113</v>
      </c>
      <c r="G493" s="9" t="s">
        <v>1114</v>
      </c>
      <c r="H493" s="9" t="s">
        <v>1115</v>
      </c>
      <c r="I493" s="9" t="s">
        <v>1116</v>
      </c>
      <c r="J493" s="9" t="s">
        <v>1117</v>
      </c>
      <c r="K493" s="6"/>
      <c r="L493" s="6"/>
      <c r="T493" s="58" t="s">
        <v>2184</v>
      </c>
      <c r="V493" s="58" t="s">
        <v>2186</v>
      </c>
    </row>
    <row r="494" spans="1:22" ht="15.2" hidden="1" customHeight="1" x14ac:dyDescent="0.2">
      <c r="A494" s="6"/>
      <c r="B494" s="6"/>
      <c r="C494" s="10"/>
      <c r="D494" s="11" t="s">
        <v>1118</v>
      </c>
      <c r="E494" s="12"/>
      <c r="F494" s="13"/>
      <c r="G494" s="13"/>
      <c r="H494" s="13"/>
      <c r="I494" s="19" t="s">
        <v>1119</v>
      </c>
      <c r="J494" s="18"/>
      <c r="K494" s="6"/>
      <c r="L494" s="6"/>
      <c r="T494" s="58" t="s">
        <v>2184</v>
      </c>
      <c r="V494" s="58" t="s">
        <v>2186</v>
      </c>
    </row>
    <row r="495" spans="1:22" ht="15.2" hidden="1" customHeight="1" x14ac:dyDescent="0.2">
      <c r="A495" s="6"/>
      <c r="B495" s="6"/>
      <c r="C495" s="10"/>
      <c r="D495" s="2" t="s">
        <v>1120</v>
      </c>
      <c r="E495" s="1">
        <v>1</v>
      </c>
      <c r="F495" s="5"/>
      <c r="G495" s="5"/>
      <c r="H495" s="5"/>
      <c r="I495" s="14">
        <f>ROUND(E495,3)</f>
        <v>1</v>
      </c>
      <c r="J495" s="6"/>
      <c r="K495" s="6"/>
      <c r="L495" s="6"/>
      <c r="T495" s="58" t="s">
        <v>2184</v>
      </c>
      <c r="V495" s="58" t="s">
        <v>2186</v>
      </c>
    </row>
    <row r="496" spans="1:22" ht="15.2" hidden="1" customHeight="1" x14ac:dyDescent="0.2">
      <c r="A496" s="6"/>
      <c r="B496" s="6"/>
      <c r="C496" s="10"/>
      <c r="D496" s="2" t="s">
        <v>1121</v>
      </c>
      <c r="E496" s="1">
        <v>1</v>
      </c>
      <c r="F496" s="5"/>
      <c r="G496" s="5"/>
      <c r="H496" s="5"/>
      <c r="I496" s="14">
        <f>ROUND(E496,3)</f>
        <v>1</v>
      </c>
      <c r="J496" s="6"/>
      <c r="K496" s="6"/>
      <c r="L496" s="6"/>
      <c r="T496" s="58" t="s">
        <v>2184</v>
      </c>
      <c r="V496" s="58" t="s">
        <v>2186</v>
      </c>
    </row>
    <row r="497" spans="1:22" ht="15.2" hidden="1" customHeight="1" x14ac:dyDescent="0.2">
      <c r="A497" s="6"/>
      <c r="B497" s="6"/>
      <c r="C497" s="10"/>
      <c r="D497" s="2" t="s">
        <v>1122</v>
      </c>
      <c r="E497" s="1">
        <v>1</v>
      </c>
      <c r="F497" s="5"/>
      <c r="G497" s="5"/>
      <c r="H497" s="5"/>
      <c r="I497" s="14">
        <f>ROUND(E497,3)</f>
        <v>1</v>
      </c>
      <c r="J497" s="16">
        <f>SUM(I494:I497)</f>
        <v>3</v>
      </c>
      <c r="K497" s="6"/>
      <c r="L497" s="6"/>
      <c r="T497" s="58" t="s">
        <v>2184</v>
      </c>
      <c r="V497" s="58" t="s">
        <v>2186</v>
      </c>
    </row>
    <row r="498" spans="1:22" ht="15.4" hidden="1" customHeight="1" x14ac:dyDescent="0.2">
      <c r="A498" s="3" t="s">
        <v>1123</v>
      </c>
      <c r="B498" s="2" t="s">
        <v>1124</v>
      </c>
      <c r="C498" s="45" t="s">
        <v>1125</v>
      </c>
      <c r="D498" s="45"/>
      <c r="E498" s="45"/>
      <c r="F498" s="45"/>
      <c r="G498" s="45"/>
      <c r="H498" s="45"/>
      <c r="I498" s="45"/>
      <c r="J498" s="4">
        <f>SUM(J501:J504)</f>
        <v>3</v>
      </c>
      <c r="K498" s="5">
        <f>ROUND(0*(1+L2/100),2)</f>
        <v>0</v>
      </c>
      <c r="L498" s="5">
        <f>ROUND(J498*K498,2)</f>
        <v>0</v>
      </c>
      <c r="T498" s="58" t="s">
        <v>2184</v>
      </c>
    </row>
    <row r="499" spans="1:22" ht="62.25" hidden="1" customHeight="1" x14ac:dyDescent="0.2">
      <c r="A499" s="6"/>
      <c r="B499" s="6"/>
      <c r="C499" s="45" t="s">
        <v>1126</v>
      </c>
      <c r="D499" s="45"/>
      <c r="E499" s="45"/>
      <c r="F499" s="45"/>
      <c r="G499" s="45"/>
      <c r="H499" s="45"/>
      <c r="I499" s="45"/>
      <c r="J499" s="45"/>
      <c r="K499" s="45"/>
      <c r="L499" s="45"/>
      <c r="T499" s="58" t="s">
        <v>2184</v>
      </c>
    </row>
    <row r="500" spans="1:22" ht="15.2" hidden="1" customHeight="1" x14ac:dyDescent="0.2">
      <c r="A500" s="6"/>
      <c r="B500" s="6"/>
      <c r="C500" s="6"/>
      <c r="D500" s="7"/>
      <c r="E500" s="9" t="s">
        <v>1127</v>
      </c>
      <c r="F500" s="9" t="s">
        <v>1128</v>
      </c>
      <c r="G500" s="9" t="s">
        <v>1129</v>
      </c>
      <c r="H500" s="9" t="s">
        <v>1130</v>
      </c>
      <c r="I500" s="9" t="s">
        <v>1131</v>
      </c>
      <c r="J500" s="9" t="s">
        <v>1132</v>
      </c>
      <c r="K500" s="6"/>
      <c r="L500" s="6"/>
      <c r="T500" s="58" t="s">
        <v>2184</v>
      </c>
    </row>
    <row r="501" spans="1:22" ht="15.2" hidden="1" customHeight="1" x14ac:dyDescent="0.2">
      <c r="A501" s="6"/>
      <c r="B501" s="6"/>
      <c r="C501" s="10"/>
      <c r="D501" s="11" t="s">
        <v>1133</v>
      </c>
      <c r="E501" s="12"/>
      <c r="F501" s="13"/>
      <c r="G501" s="13"/>
      <c r="H501" s="13"/>
      <c r="I501" s="19" t="s">
        <v>1134</v>
      </c>
      <c r="J501" s="18"/>
      <c r="K501" s="6"/>
      <c r="L501" s="6"/>
      <c r="T501" s="58" t="s">
        <v>2184</v>
      </c>
    </row>
    <row r="502" spans="1:22" ht="15.2" hidden="1" customHeight="1" x14ac:dyDescent="0.2">
      <c r="A502" s="6"/>
      <c r="B502" s="6"/>
      <c r="C502" s="10"/>
      <c r="D502" s="2" t="s">
        <v>1135</v>
      </c>
      <c r="E502" s="1">
        <v>1</v>
      </c>
      <c r="F502" s="5"/>
      <c r="G502" s="5"/>
      <c r="H502" s="5"/>
      <c r="I502" s="14">
        <f>ROUND(E502,3)</f>
        <v>1</v>
      </c>
      <c r="J502" s="6"/>
      <c r="K502" s="6"/>
      <c r="L502" s="6"/>
      <c r="T502" s="58" t="s">
        <v>2184</v>
      </c>
    </row>
    <row r="503" spans="1:22" ht="15.2" hidden="1" customHeight="1" x14ac:dyDescent="0.2">
      <c r="A503" s="6"/>
      <c r="B503" s="6"/>
      <c r="C503" s="10"/>
      <c r="D503" s="2" t="s">
        <v>1136</v>
      </c>
      <c r="E503" s="1">
        <v>1</v>
      </c>
      <c r="F503" s="5"/>
      <c r="G503" s="5"/>
      <c r="H503" s="5"/>
      <c r="I503" s="14">
        <f>ROUND(E503,3)</f>
        <v>1</v>
      </c>
      <c r="J503" s="6"/>
      <c r="K503" s="6"/>
      <c r="L503" s="6"/>
      <c r="T503" s="58" t="s">
        <v>2184</v>
      </c>
    </row>
    <row r="504" spans="1:22" ht="15.2" hidden="1" customHeight="1" x14ac:dyDescent="0.2">
      <c r="A504" s="6"/>
      <c r="B504" s="6"/>
      <c r="C504" s="10"/>
      <c r="D504" s="2" t="s">
        <v>1137</v>
      </c>
      <c r="E504" s="1">
        <v>1</v>
      </c>
      <c r="F504" s="5"/>
      <c r="G504" s="5"/>
      <c r="H504" s="5"/>
      <c r="I504" s="14">
        <f>ROUND(E504,3)</f>
        <v>1</v>
      </c>
      <c r="J504" s="16">
        <f>SUM(I501:I504)</f>
        <v>3</v>
      </c>
      <c r="K504" s="6"/>
      <c r="L504" s="6"/>
      <c r="T504" s="58" t="s">
        <v>2184</v>
      </c>
    </row>
    <row r="505" spans="1:22" ht="15.4" hidden="1" customHeight="1" x14ac:dyDescent="0.2">
      <c r="A505" s="3" t="s">
        <v>1138</v>
      </c>
      <c r="B505" s="2" t="s">
        <v>1139</v>
      </c>
      <c r="C505" s="45" t="s">
        <v>1140</v>
      </c>
      <c r="D505" s="45"/>
      <c r="E505" s="45"/>
      <c r="F505" s="45"/>
      <c r="G505" s="45"/>
      <c r="H505" s="45"/>
      <c r="I505" s="45"/>
      <c r="J505" s="4">
        <f>SUM(J508:J509)</f>
        <v>1</v>
      </c>
      <c r="K505" s="5">
        <f>ROUND(0*(1+L2/100),2)</f>
        <v>0</v>
      </c>
      <c r="L505" s="5">
        <f>ROUND(J505*K505,2)</f>
        <v>0</v>
      </c>
      <c r="T505" s="58" t="s">
        <v>2184</v>
      </c>
      <c r="V505" s="58" t="s">
        <v>2186</v>
      </c>
    </row>
    <row r="506" spans="1:22" ht="65.25" hidden="1" customHeight="1" x14ac:dyDescent="0.2">
      <c r="A506" s="6"/>
      <c r="B506" s="6"/>
      <c r="C506" s="45" t="s">
        <v>1141</v>
      </c>
      <c r="D506" s="45"/>
      <c r="E506" s="45"/>
      <c r="F506" s="45"/>
      <c r="G506" s="45"/>
      <c r="H506" s="45"/>
      <c r="I506" s="45"/>
      <c r="J506" s="45"/>
      <c r="K506" s="45"/>
      <c r="L506" s="45"/>
      <c r="T506" s="58" t="s">
        <v>2184</v>
      </c>
      <c r="V506" s="58" t="s">
        <v>2186</v>
      </c>
    </row>
    <row r="507" spans="1:22" ht="15.2" hidden="1" customHeight="1" x14ac:dyDescent="0.2">
      <c r="A507" s="6"/>
      <c r="B507" s="6"/>
      <c r="C507" s="6"/>
      <c r="D507" s="7"/>
      <c r="E507" s="9" t="s">
        <v>1142</v>
      </c>
      <c r="F507" s="9" t="s">
        <v>1143</v>
      </c>
      <c r="G507" s="9" t="s">
        <v>1144</v>
      </c>
      <c r="H507" s="9" t="s">
        <v>1145</v>
      </c>
      <c r="I507" s="9" t="s">
        <v>1146</v>
      </c>
      <c r="J507" s="9" t="s">
        <v>1147</v>
      </c>
      <c r="K507" s="6"/>
      <c r="L507" s="6"/>
      <c r="T507" s="58" t="s">
        <v>2184</v>
      </c>
      <c r="V507" s="58" t="s">
        <v>2186</v>
      </c>
    </row>
    <row r="508" spans="1:22" ht="15.2" hidden="1" customHeight="1" x14ac:dyDescent="0.2">
      <c r="A508" s="6"/>
      <c r="B508" s="6"/>
      <c r="C508" s="10"/>
      <c r="D508" s="11" t="s">
        <v>1148</v>
      </c>
      <c r="E508" s="12"/>
      <c r="F508" s="13"/>
      <c r="G508" s="13"/>
      <c r="H508" s="13"/>
      <c r="I508" s="19" t="s">
        <v>1149</v>
      </c>
      <c r="J508" s="18"/>
      <c r="K508" s="6"/>
      <c r="L508" s="6"/>
      <c r="T508" s="58" t="s">
        <v>2184</v>
      </c>
      <c r="V508" s="58" t="s">
        <v>2186</v>
      </c>
    </row>
    <row r="509" spans="1:22" ht="15.2" hidden="1" customHeight="1" x14ac:dyDescent="0.2">
      <c r="A509" s="6"/>
      <c r="B509" s="6"/>
      <c r="C509" s="10"/>
      <c r="D509" s="2" t="s">
        <v>1150</v>
      </c>
      <c r="E509" s="1">
        <v>1</v>
      </c>
      <c r="F509" s="5"/>
      <c r="G509" s="5"/>
      <c r="H509" s="5"/>
      <c r="I509" s="14">
        <f>ROUND(E509,3)</f>
        <v>1</v>
      </c>
      <c r="J509" s="16">
        <f>SUM(I508:I509)</f>
        <v>1</v>
      </c>
      <c r="K509" s="6"/>
      <c r="L509" s="6"/>
      <c r="T509" s="58" t="s">
        <v>2184</v>
      </c>
      <c r="V509" s="58" t="s">
        <v>2186</v>
      </c>
    </row>
    <row r="510" spans="1:22" ht="15.4" hidden="1" customHeight="1" x14ac:dyDescent="0.2">
      <c r="A510" s="3" t="s">
        <v>1151</v>
      </c>
      <c r="B510" s="2" t="s">
        <v>1152</v>
      </c>
      <c r="C510" s="45" t="s">
        <v>1153</v>
      </c>
      <c r="D510" s="45"/>
      <c r="E510" s="45"/>
      <c r="F510" s="45"/>
      <c r="G510" s="45"/>
      <c r="H510" s="45"/>
      <c r="I510" s="45"/>
      <c r="J510" s="4">
        <f>SUM(J513:J514)</f>
        <v>1</v>
      </c>
      <c r="K510" s="5">
        <f>ROUND(0*(1+L2/100),2)</f>
        <v>0</v>
      </c>
      <c r="L510" s="5">
        <f>ROUND(J510*K510,2)</f>
        <v>0</v>
      </c>
      <c r="T510" s="58" t="s">
        <v>2184</v>
      </c>
    </row>
    <row r="511" spans="1:22" ht="61.5" hidden="1" customHeight="1" x14ac:dyDescent="0.2">
      <c r="A511" s="6"/>
      <c r="B511" s="6"/>
      <c r="C511" s="45" t="s">
        <v>1154</v>
      </c>
      <c r="D511" s="45"/>
      <c r="E511" s="45"/>
      <c r="F511" s="45"/>
      <c r="G511" s="45"/>
      <c r="H511" s="45"/>
      <c r="I511" s="45"/>
      <c r="J511" s="45"/>
      <c r="K511" s="45"/>
      <c r="L511" s="45"/>
      <c r="T511" s="58" t="s">
        <v>2184</v>
      </c>
    </row>
    <row r="512" spans="1:22" ht="15.2" hidden="1" customHeight="1" x14ac:dyDescent="0.2">
      <c r="A512" s="6"/>
      <c r="B512" s="6"/>
      <c r="C512" s="6"/>
      <c r="D512" s="7"/>
      <c r="E512" s="9" t="s">
        <v>1155</v>
      </c>
      <c r="F512" s="9" t="s">
        <v>1156</v>
      </c>
      <c r="G512" s="9" t="s">
        <v>1157</v>
      </c>
      <c r="H512" s="9" t="s">
        <v>1158</v>
      </c>
      <c r="I512" s="9" t="s">
        <v>1159</v>
      </c>
      <c r="J512" s="9" t="s">
        <v>1160</v>
      </c>
      <c r="K512" s="6"/>
      <c r="L512" s="6"/>
      <c r="T512" s="58" t="s">
        <v>2184</v>
      </c>
    </row>
    <row r="513" spans="1:23" ht="15.2" hidden="1" customHeight="1" x14ac:dyDescent="0.2">
      <c r="A513" s="6"/>
      <c r="B513" s="6"/>
      <c r="C513" s="10"/>
      <c r="D513" s="11" t="s">
        <v>1161</v>
      </c>
      <c r="E513" s="12"/>
      <c r="F513" s="13"/>
      <c r="G513" s="13"/>
      <c r="H513" s="13"/>
      <c r="I513" s="19" t="s">
        <v>1162</v>
      </c>
      <c r="J513" s="18"/>
      <c r="K513" s="6"/>
      <c r="L513" s="6"/>
      <c r="T513" s="58" t="s">
        <v>2184</v>
      </c>
    </row>
    <row r="514" spans="1:23" ht="15.2" hidden="1" customHeight="1" x14ac:dyDescent="0.2">
      <c r="A514" s="6"/>
      <c r="B514" s="6"/>
      <c r="C514" s="10"/>
      <c r="D514" s="2" t="s">
        <v>1163</v>
      </c>
      <c r="E514" s="1">
        <v>1</v>
      </c>
      <c r="F514" s="5"/>
      <c r="G514" s="5"/>
      <c r="H514" s="5"/>
      <c r="I514" s="14">
        <f>ROUND(E514,3)</f>
        <v>1</v>
      </c>
      <c r="J514" s="16">
        <f>SUM(I513:I514)</f>
        <v>1</v>
      </c>
      <c r="K514" s="6"/>
      <c r="L514" s="6"/>
      <c r="T514" s="58" t="s">
        <v>2184</v>
      </c>
    </row>
    <row r="515" spans="1:23" ht="15.4" hidden="1" customHeight="1" x14ac:dyDescent="0.2">
      <c r="A515" s="37" t="s">
        <v>1164</v>
      </c>
      <c r="B515" s="34"/>
      <c r="C515" s="46" t="s">
        <v>1165</v>
      </c>
      <c r="D515" s="46"/>
      <c r="E515" s="46"/>
      <c r="F515" s="46"/>
      <c r="G515" s="46"/>
      <c r="H515" s="46"/>
      <c r="I515" s="46"/>
      <c r="J515" s="34"/>
      <c r="K515" s="35">
        <v>0</v>
      </c>
      <c r="L515" s="35">
        <f>ROUND(K515,2)</f>
        <v>0</v>
      </c>
      <c r="V515" s="58" t="s">
        <v>2186</v>
      </c>
    </row>
    <row r="516" spans="1:23" ht="15.4" hidden="1" customHeight="1" x14ac:dyDescent="0.2">
      <c r="A516" s="3" t="s">
        <v>1166</v>
      </c>
      <c r="B516" s="2" t="s">
        <v>1167</v>
      </c>
      <c r="C516" s="45" t="s">
        <v>1168</v>
      </c>
      <c r="D516" s="45"/>
      <c r="E516" s="45"/>
      <c r="F516" s="45"/>
      <c r="G516" s="45"/>
      <c r="H516" s="45"/>
      <c r="I516" s="45"/>
      <c r="J516" s="4">
        <f>SUM(J519:J520)</f>
        <v>3</v>
      </c>
      <c r="K516" s="5">
        <f>ROUND(0*(1+L2/100),2)</f>
        <v>0</v>
      </c>
      <c r="L516" s="5">
        <f>ROUND(J516*K516,2)</f>
        <v>0</v>
      </c>
      <c r="V516" s="58" t="s">
        <v>2186</v>
      </c>
    </row>
    <row r="517" spans="1:23" ht="28.5" hidden="1" customHeight="1" x14ac:dyDescent="0.2">
      <c r="A517" s="6"/>
      <c r="B517" s="6"/>
      <c r="C517" s="45" t="s">
        <v>1169</v>
      </c>
      <c r="D517" s="45"/>
      <c r="E517" s="45"/>
      <c r="F517" s="45"/>
      <c r="G517" s="45"/>
      <c r="H517" s="45"/>
      <c r="I517" s="45"/>
      <c r="J517" s="45"/>
      <c r="K517" s="45"/>
      <c r="L517" s="45"/>
      <c r="V517" s="58" t="s">
        <v>2186</v>
      </c>
    </row>
    <row r="518" spans="1:23" ht="15.2" hidden="1" customHeight="1" x14ac:dyDescent="0.2">
      <c r="A518" s="6"/>
      <c r="B518" s="6"/>
      <c r="C518" s="6"/>
      <c r="D518" s="7"/>
      <c r="E518" s="9" t="s">
        <v>1170</v>
      </c>
      <c r="F518" s="9" t="s">
        <v>1171</v>
      </c>
      <c r="G518" s="9" t="s">
        <v>1172</v>
      </c>
      <c r="H518" s="9" t="s">
        <v>1173</v>
      </c>
      <c r="I518" s="9" t="s">
        <v>1174</v>
      </c>
      <c r="J518" s="9" t="s">
        <v>1175</v>
      </c>
      <c r="K518" s="6"/>
      <c r="L518" s="6"/>
      <c r="V518" s="58" t="s">
        <v>2186</v>
      </c>
    </row>
    <row r="519" spans="1:23" ht="15.2" hidden="1" customHeight="1" x14ac:dyDescent="0.2">
      <c r="A519" s="6"/>
      <c r="B519" s="6"/>
      <c r="C519" s="10"/>
      <c r="D519" s="11" t="s">
        <v>1176</v>
      </c>
      <c r="E519" s="12">
        <v>2</v>
      </c>
      <c r="F519" s="13"/>
      <c r="G519" s="13"/>
      <c r="H519" s="13"/>
      <c r="I519" s="15">
        <f>ROUND(E519,3)</f>
        <v>2</v>
      </c>
      <c r="J519" s="18"/>
      <c r="K519" s="6"/>
      <c r="L519" s="6"/>
      <c r="V519" s="58" t="s">
        <v>2186</v>
      </c>
    </row>
    <row r="520" spans="1:23" ht="21.4" hidden="1" customHeight="1" x14ac:dyDescent="0.2">
      <c r="A520" s="6"/>
      <c r="B520" s="6"/>
      <c r="C520" s="10"/>
      <c r="D520" s="2" t="s">
        <v>1177</v>
      </c>
      <c r="E520" s="1">
        <v>1</v>
      </c>
      <c r="F520" s="5"/>
      <c r="G520" s="5"/>
      <c r="H520" s="5"/>
      <c r="I520" s="14">
        <f>ROUND(E520,3)</f>
        <v>1</v>
      </c>
      <c r="J520" s="16">
        <f>SUM(I519:I520)</f>
        <v>3</v>
      </c>
      <c r="K520" s="6"/>
      <c r="L520" s="6"/>
      <c r="V520" s="58" t="s">
        <v>2186</v>
      </c>
    </row>
    <row r="521" spans="1:23" ht="15.4" hidden="1" customHeight="1" x14ac:dyDescent="0.2">
      <c r="A521" s="37" t="s">
        <v>1178</v>
      </c>
      <c r="B521" s="34"/>
      <c r="C521" s="46" t="s">
        <v>1179</v>
      </c>
      <c r="D521" s="46"/>
      <c r="E521" s="46"/>
      <c r="F521" s="46"/>
      <c r="G521" s="46"/>
      <c r="H521" s="46"/>
      <c r="I521" s="46"/>
      <c r="J521" s="34"/>
      <c r="K521" s="35">
        <v>0</v>
      </c>
      <c r="L521" s="35">
        <f>ROUND(K521,2)</f>
        <v>0</v>
      </c>
      <c r="P521" s="58" t="s">
        <v>2180</v>
      </c>
      <c r="W521" s="58" t="s">
        <v>2187</v>
      </c>
    </row>
    <row r="522" spans="1:23" ht="15.4" hidden="1" customHeight="1" x14ac:dyDescent="0.2">
      <c r="A522" s="3" t="s">
        <v>1180</v>
      </c>
      <c r="B522" s="2" t="s">
        <v>1181</v>
      </c>
      <c r="C522" s="45" t="s">
        <v>1182</v>
      </c>
      <c r="D522" s="45"/>
      <c r="E522" s="45"/>
      <c r="F522" s="45"/>
      <c r="G522" s="45"/>
      <c r="H522" s="45"/>
      <c r="I522" s="45"/>
      <c r="J522" s="4">
        <f>SUM(J525:J528)</f>
        <v>19.399999999999999</v>
      </c>
      <c r="K522" s="5">
        <f>ROUND(0*(1+L2/100),2)</f>
        <v>0</v>
      </c>
      <c r="L522" s="5">
        <f>ROUND(J522*K522,2)</f>
        <v>0</v>
      </c>
      <c r="W522" s="58" t="s">
        <v>2187</v>
      </c>
    </row>
    <row r="523" spans="1:23" ht="74.25" hidden="1" customHeight="1" x14ac:dyDescent="0.2">
      <c r="A523" s="6"/>
      <c r="B523" s="6"/>
      <c r="C523" s="45" t="s">
        <v>1183</v>
      </c>
      <c r="D523" s="45"/>
      <c r="E523" s="45"/>
      <c r="F523" s="45"/>
      <c r="G523" s="45"/>
      <c r="H523" s="45"/>
      <c r="I523" s="45"/>
      <c r="J523" s="45"/>
      <c r="K523" s="45"/>
      <c r="L523" s="45"/>
      <c r="W523" s="58" t="s">
        <v>2187</v>
      </c>
    </row>
    <row r="524" spans="1:23" hidden="1" x14ac:dyDescent="0.2">
      <c r="A524" s="6"/>
      <c r="B524" s="6"/>
      <c r="C524" s="6"/>
      <c r="D524" s="7"/>
      <c r="E524" s="9" t="s">
        <v>1184</v>
      </c>
      <c r="F524" s="9" t="s">
        <v>1185</v>
      </c>
      <c r="G524" s="9" t="s">
        <v>1186</v>
      </c>
      <c r="H524" s="9" t="s">
        <v>1187</v>
      </c>
      <c r="I524" s="9" t="s">
        <v>1188</v>
      </c>
      <c r="J524" s="9" t="s">
        <v>1189</v>
      </c>
      <c r="K524" s="6"/>
      <c r="L524" s="6"/>
      <c r="W524" s="58" t="s">
        <v>2187</v>
      </c>
    </row>
    <row r="525" spans="1:23" ht="22.5" hidden="1" x14ac:dyDescent="0.2">
      <c r="A525" s="6"/>
      <c r="B525" s="6"/>
      <c r="C525" s="10"/>
      <c r="D525" s="11" t="s">
        <v>1190</v>
      </c>
      <c r="E525" s="12">
        <v>6.6</v>
      </c>
      <c r="F525" s="13"/>
      <c r="G525" s="13"/>
      <c r="H525" s="13"/>
      <c r="I525" s="15">
        <f>ROUND(E525,3)</f>
        <v>6.6</v>
      </c>
      <c r="J525" s="18"/>
      <c r="K525" s="6"/>
      <c r="L525" s="6"/>
      <c r="W525" s="58" t="s">
        <v>2187</v>
      </c>
    </row>
    <row r="526" spans="1:23" ht="22.5" hidden="1" x14ac:dyDescent="0.2">
      <c r="A526" s="6"/>
      <c r="B526" s="6"/>
      <c r="C526" s="10"/>
      <c r="D526" s="2" t="s">
        <v>1191</v>
      </c>
      <c r="E526" s="1">
        <v>7.15</v>
      </c>
      <c r="F526" s="5"/>
      <c r="G526" s="5"/>
      <c r="H526" s="5"/>
      <c r="I526" s="14">
        <f>ROUND(E526,3)</f>
        <v>7.15</v>
      </c>
      <c r="J526" s="6"/>
      <c r="K526" s="6"/>
      <c r="L526" s="6"/>
      <c r="W526" s="58" t="s">
        <v>2187</v>
      </c>
    </row>
    <row r="527" spans="1:23" ht="45" hidden="1" x14ac:dyDescent="0.2">
      <c r="A527" s="6"/>
      <c r="B527" s="6"/>
      <c r="C527" s="10"/>
      <c r="D527" s="2" t="s">
        <v>1192</v>
      </c>
      <c r="E527" s="1">
        <v>2</v>
      </c>
      <c r="F527" s="5">
        <v>0.75</v>
      </c>
      <c r="G527" s="5"/>
      <c r="H527" s="5"/>
      <c r="I527" s="14">
        <f>ROUND(E527*F527,3)</f>
        <v>1.5</v>
      </c>
      <c r="J527" s="6"/>
      <c r="K527" s="6"/>
      <c r="L527" s="6"/>
      <c r="W527" s="58" t="s">
        <v>2187</v>
      </c>
    </row>
    <row r="528" spans="1:23" ht="22.5" hidden="1" x14ac:dyDescent="0.2">
      <c r="A528" s="6"/>
      <c r="B528" s="6"/>
      <c r="C528" s="10"/>
      <c r="D528" s="2" t="s">
        <v>1193</v>
      </c>
      <c r="E528" s="1">
        <v>4.1500000000000004</v>
      </c>
      <c r="F528" s="5"/>
      <c r="G528" s="5"/>
      <c r="H528" s="5"/>
      <c r="I528" s="14">
        <f>ROUND(E528,3)</f>
        <v>4.1500000000000004</v>
      </c>
      <c r="J528" s="16">
        <f>SUM(I525:I528)</f>
        <v>19.399999999999999</v>
      </c>
      <c r="K528" s="6"/>
      <c r="L528" s="6"/>
      <c r="W528" s="58" t="s">
        <v>2187</v>
      </c>
    </row>
    <row r="529" spans="1:22" ht="15.4" hidden="1" customHeight="1" x14ac:dyDescent="0.2">
      <c r="A529" s="3" t="s">
        <v>1194</v>
      </c>
      <c r="B529" s="2"/>
      <c r="C529" s="45" t="s">
        <v>1195</v>
      </c>
      <c r="D529" s="45"/>
      <c r="E529" s="45"/>
      <c r="F529" s="45"/>
      <c r="G529" s="45"/>
      <c r="H529" s="45"/>
      <c r="I529" s="45"/>
      <c r="J529" s="4">
        <f>SUM(J532:J532)</f>
        <v>9.3000000000000007</v>
      </c>
      <c r="K529" s="5">
        <f>ROUND(0*(1+L2/100),2)</f>
        <v>0</v>
      </c>
      <c r="L529" s="5">
        <f>ROUND(J529*K529,2)</f>
        <v>0</v>
      </c>
      <c r="P529" s="58" t="s">
        <v>2180</v>
      </c>
      <c r="V529" s="58" t="s">
        <v>2186</v>
      </c>
    </row>
    <row r="530" spans="1:22" ht="12.2" hidden="1" customHeight="1" x14ac:dyDescent="0.2">
      <c r="A530" s="6"/>
      <c r="B530" s="6"/>
      <c r="C530" s="45" t="s">
        <v>1196</v>
      </c>
      <c r="D530" s="45"/>
      <c r="E530" s="45"/>
      <c r="F530" s="45"/>
      <c r="G530" s="45"/>
      <c r="H530" s="45"/>
      <c r="I530" s="45"/>
      <c r="J530" s="45"/>
      <c r="K530" s="45"/>
      <c r="L530" s="45"/>
      <c r="P530" s="58" t="s">
        <v>2180</v>
      </c>
      <c r="V530" s="58" t="s">
        <v>2186</v>
      </c>
    </row>
    <row r="531" spans="1:22" ht="15.2" hidden="1" customHeight="1" x14ac:dyDescent="0.2">
      <c r="A531" s="6"/>
      <c r="B531" s="6"/>
      <c r="C531" s="6"/>
      <c r="D531" s="7"/>
      <c r="E531" s="9" t="s">
        <v>1197</v>
      </c>
      <c r="F531" s="9" t="s">
        <v>1198</v>
      </c>
      <c r="G531" s="9" t="s">
        <v>1199</v>
      </c>
      <c r="H531" s="9" t="s">
        <v>1200</v>
      </c>
      <c r="I531" s="9" t="s">
        <v>1201</v>
      </c>
      <c r="J531" s="9" t="s">
        <v>1202</v>
      </c>
      <c r="K531" s="6"/>
      <c r="L531" s="6"/>
      <c r="P531" s="58" t="s">
        <v>2180</v>
      </c>
      <c r="V531" s="58" t="s">
        <v>2186</v>
      </c>
    </row>
    <row r="532" spans="1:22" ht="22.5" hidden="1" x14ac:dyDescent="0.2">
      <c r="A532" s="6"/>
      <c r="B532" s="6"/>
      <c r="C532" s="10"/>
      <c r="D532" s="11" t="s">
        <v>1203</v>
      </c>
      <c r="E532" s="12">
        <v>9.3000000000000007</v>
      </c>
      <c r="F532" s="13"/>
      <c r="G532" s="13"/>
      <c r="H532" s="13"/>
      <c r="I532" s="15">
        <f>ROUND(E532,3)</f>
        <v>9.3000000000000007</v>
      </c>
      <c r="J532" s="17">
        <f>SUM(I532:I532)</f>
        <v>9.3000000000000007</v>
      </c>
      <c r="K532" s="6"/>
      <c r="L532" s="6"/>
      <c r="P532" s="58" t="s">
        <v>2180</v>
      </c>
      <c r="V532" s="58" t="s">
        <v>2186</v>
      </c>
    </row>
    <row r="533" spans="1:22" ht="15.4" hidden="1" customHeight="1" x14ac:dyDescent="0.2">
      <c r="A533" s="31" t="s">
        <v>1204</v>
      </c>
      <c r="B533" s="28"/>
      <c r="C533" s="44" t="s">
        <v>1205</v>
      </c>
      <c r="D533" s="44"/>
      <c r="E533" s="44"/>
      <c r="F533" s="44"/>
      <c r="G533" s="44"/>
      <c r="H533" s="44"/>
      <c r="I533" s="44"/>
      <c r="J533" s="28"/>
      <c r="K533" s="29">
        <v>0</v>
      </c>
      <c r="L533" s="29">
        <f>ROUND(K533,2)</f>
        <v>0</v>
      </c>
    </row>
    <row r="534" spans="1:22" ht="15.4" hidden="1" customHeight="1" x14ac:dyDescent="0.2">
      <c r="A534" s="36" t="s">
        <v>1206</v>
      </c>
      <c r="B534" s="32"/>
      <c r="C534" s="47" t="s">
        <v>1207</v>
      </c>
      <c r="D534" s="47"/>
      <c r="E534" s="47"/>
      <c r="F534" s="47"/>
      <c r="G534" s="47"/>
      <c r="H534" s="47"/>
      <c r="I534" s="47"/>
      <c r="J534" s="32"/>
      <c r="K534" s="33">
        <v>0</v>
      </c>
      <c r="L534" s="33">
        <f>ROUND(K534,2)</f>
        <v>0</v>
      </c>
    </row>
    <row r="535" spans="1:22" ht="15.4" hidden="1" customHeight="1" x14ac:dyDescent="0.2">
      <c r="A535" s="3" t="s">
        <v>1208</v>
      </c>
      <c r="B535" s="2" t="s">
        <v>1209</v>
      </c>
      <c r="C535" s="45" t="s">
        <v>1210</v>
      </c>
      <c r="D535" s="45"/>
      <c r="E535" s="45"/>
      <c r="F535" s="45"/>
      <c r="G535" s="45"/>
      <c r="H535" s="45"/>
      <c r="I535" s="45"/>
      <c r="J535" s="4">
        <f>ROUND(1,2)</f>
        <v>1</v>
      </c>
      <c r="K535" s="5">
        <f>ROUND(0*(1+L2/100),2)</f>
        <v>0</v>
      </c>
      <c r="L535" s="5">
        <f>ROUND(J535*K535,2)</f>
        <v>0</v>
      </c>
    </row>
    <row r="536" spans="1:22" ht="40.5" hidden="1" customHeight="1" x14ac:dyDescent="0.2">
      <c r="A536" s="6"/>
      <c r="B536" s="6"/>
      <c r="C536" s="45" t="s">
        <v>1211</v>
      </c>
      <c r="D536" s="45"/>
      <c r="E536" s="45"/>
      <c r="F536" s="45"/>
      <c r="G536" s="45"/>
      <c r="H536" s="45"/>
      <c r="I536" s="45"/>
      <c r="J536" s="45"/>
      <c r="K536" s="45"/>
      <c r="L536" s="45"/>
    </row>
    <row r="537" spans="1:22" ht="15.4" hidden="1" customHeight="1" x14ac:dyDescent="0.2">
      <c r="A537" s="3" t="s">
        <v>1212</v>
      </c>
      <c r="B537" s="2" t="s">
        <v>1213</v>
      </c>
      <c r="C537" s="45" t="s">
        <v>1214</v>
      </c>
      <c r="D537" s="45"/>
      <c r="E537" s="45"/>
      <c r="F537" s="45"/>
      <c r="G537" s="45"/>
      <c r="H537" s="45"/>
      <c r="I537" s="45"/>
      <c r="J537" s="4">
        <f>SUM(J540:J543)</f>
        <v>19.399999999999999</v>
      </c>
      <c r="K537" s="5">
        <f>ROUND(0*(1+L2/100),2)</f>
        <v>0</v>
      </c>
      <c r="L537" s="5">
        <f>ROUND(J537*K537,2)</f>
        <v>0</v>
      </c>
    </row>
    <row r="538" spans="1:22" ht="28.5" hidden="1" customHeight="1" x14ac:dyDescent="0.2">
      <c r="A538" s="6"/>
      <c r="B538" s="6"/>
      <c r="C538" s="45" t="s">
        <v>1215</v>
      </c>
      <c r="D538" s="45"/>
      <c r="E538" s="45"/>
      <c r="F538" s="45"/>
      <c r="G538" s="45"/>
      <c r="H538" s="45"/>
      <c r="I538" s="45"/>
      <c r="J538" s="45"/>
      <c r="K538" s="45"/>
      <c r="L538" s="45"/>
    </row>
    <row r="539" spans="1:22" ht="15.2" hidden="1" customHeight="1" x14ac:dyDescent="0.2">
      <c r="A539" s="6"/>
      <c r="B539" s="6"/>
      <c r="C539" s="6"/>
      <c r="D539" s="7"/>
      <c r="E539" s="9" t="s">
        <v>1216</v>
      </c>
      <c r="F539" s="9" t="s">
        <v>1217</v>
      </c>
      <c r="G539" s="9" t="s">
        <v>1218</v>
      </c>
      <c r="H539" s="9" t="s">
        <v>1219</v>
      </c>
      <c r="I539" s="9" t="s">
        <v>1220</v>
      </c>
      <c r="J539" s="9" t="s">
        <v>1221</v>
      </c>
      <c r="K539" s="6"/>
      <c r="L539" s="6"/>
    </row>
    <row r="540" spans="1:22" ht="22.5" hidden="1" x14ac:dyDescent="0.2">
      <c r="A540" s="6"/>
      <c r="B540" s="6"/>
      <c r="C540" s="10"/>
      <c r="D540" s="11" t="s">
        <v>1222</v>
      </c>
      <c r="E540" s="12">
        <v>6.6</v>
      </c>
      <c r="F540" s="13"/>
      <c r="G540" s="13"/>
      <c r="H540" s="13"/>
      <c r="I540" s="15">
        <f>ROUND(E540,3)</f>
        <v>6.6</v>
      </c>
      <c r="J540" s="18"/>
      <c r="K540" s="6"/>
      <c r="L540" s="6"/>
    </row>
    <row r="541" spans="1:22" ht="22.5" hidden="1" x14ac:dyDescent="0.2">
      <c r="A541" s="6"/>
      <c r="B541" s="6"/>
      <c r="C541" s="10"/>
      <c r="D541" s="2" t="s">
        <v>1223</v>
      </c>
      <c r="E541" s="1">
        <v>7.15</v>
      </c>
      <c r="F541" s="5"/>
      <c r="G541" s="5"/>
      <c r="H541" s="5"/>
      <c r="I541" s="14">
        <f>ROUND(E541,3)</f>
        <v>7.15</v>
      </c>
      <c r="J541" s="6"/>
      <c r="K541" s="6"/>
      <c r="L541" s="6"/>
    </row>
    <row r="542" spans="1:22" ht="45" hidden="1" x14ac:dyDescent="0.2">
      <c r="A542" s="6"/>
      <c r="B542" s="6"/>
      <c r="C542" s="10"/>
      <c r="D542" s="2" t="s">
        <v>1224</v>
      </c>
      <c r="E542" s="1">
        <v>1.5</v>
      </c>
      <c r="F542" s="5"/>
      <c r="G542" s="5"/>
      <c r="H542" s="5"/>
      <c r="I542" s="14">
        <f>ROUND(E542,3)</f>
        <v>1.5</v>
      </c>
      <c r="J542" s="6"/>
      <c r="K542" s="6"/>
      <c r="L542" s="6"/>
    </row>
    <row r="543" spans="1:22" ht="22.5" hidden="1" x14ac:dyDescent="0.2">
      <c r="A543" s="6"/>
      <c r="B543" s="6"/>
      <c r="C543" s="10"/>
      <c r="D543" s="2" t="s">
        <v>1225</v>
      </c>
      <c r="E543" s="1">
        <v>4.1500000000000004</v>
      </c>
      <c r="F543" s="5"/>
      <c r="G543" s="5"/>
      <c r="H543" s="5"/>
      <c r="I543" s="14">
        <f>ROUND(E543,3)</f>
        <v>4.1500000000000004</v>
      </c>
      <c r="J543" s="16">
        <f>SUM(I540:I543)</f>
        <v>19.399999999999999</v>
      </c>
      <c r="K543" s="6"/>
      <c r="L543" s="6"/>
    </row>
    <row r="544" spans="1:22" ht="15.4" hidden="1" customHeight="1" x14ac:dyDescent="0.2">
      <c r="A544" s="3" t="s">
        <v>1226</v>
      </c>
      <c r="B544" s="2" t="s">
        <v>1227</v>
      </c>
      <c r="C544" s="45" t="s">
        <v>1228</v>
      </c>
      <c r="D544" s="45"/>
      <c r="E544" s="45"/>
      <c r="F544" s="45"/>
      <c r="G544" s="45"/>
      <c r="H544" s="45"/>
      <c r="I544" s="45"/>
      <c r="J544" s="4">
        <f>SUM(J547:J557)</f>
        <v>11</v>
      </c>
      <c r="K544" s="5">
        <f>ROUND(0*(1+L2/100),2)</f>
        <v>0</v>
      </c>
      <c r="L544" s="5">
        <f>ROUND(J544*K544,2)</f>
        <v>0</v>
      </c>
    </row>
    <row r="545" spans="1:12" ht="41.25" hidden="1" customHeight="1" x14ac:dyDescent="0.2">
      <c r="A545" s="6"/>
      <c r="B545" s="6"/>
      <c r="C545" s="45" t="s">
        <v>1229</v>
      </c>
      <c r="D545" s="45"/>
      <c r="E545" s="45"/>
      <c r="F545" s="45"/>
      <c r="G545" s="45"/>
      <c r="H545" s="45"/>
      <c r="I545" s="45"/>
      <c r="J545" s="45"/>
      <c r="K545" s="45"/>
      <c r="L545" s="45"/>
    </row>
    <row r="546" spans="1:12" hidden="1" x14ac:dyDescent="0.2">
      <c r="A546" s="6"/>
      <c r="B546" s="6"/>
      <c r="C546" s="6"/>
      <c r="D546" s="7"/>
      <c r="E546" s="9" t="s">
        <v>1230</v>
      </c>
      <c r="F546" s="9" t="s">
        <v>1231</v>
      </c>
      <c r="G546" s="9" t="s">
        <v>1232</v>
      </c>
      <c r="H546" s="9" t="s">
        <v>1233</v>
      </c>
      <c r="I546" s="9" t="s">
        <v>1234</v>
      </c>
      <c r="J546" s="9" t="s">
        <v>1235</v>
      </c>
      <c r="K546" s="6"/>
      <c r="L546" s="6"/>
    </row>
    <row r="547" spans="1:12" ht="22.5" hidden="1" x14ac:dyDescent="0.2">
      <c r="A547" s="6"/>
      <c r="B547" s="6"/>
      <c r="C547" s="10"/>
      <c r="D547" s="11" t="s">
        <v>1236</v>
      </c>
      <c r="E547" s="12"/>
      <c r="F547" s="13"/>
      <c r="G547" s="13"/>
      <c r="H547" s="13"/>
      <c r="I547" s="19" t="s">
        <v>1237</v>
      </c>
      <c r="J547" s="18"/>
      <c r="K547" s="6"/>
      <c r="L547" s="6"/>
    </row>
    <row r="548" spans="1:12" hidden="1" x14ac:dyDescent="0.2">
      <c r="A548" s="6"/>
      <c r="B548" s="6"/>
      <c r="C548" s="10"/>
      <c r="D548" s="2" t="s">
        <v>1238</v>
      </c>
      <c r="E548" s="1">
        <v>1</v>
      </c>
      <c r="F548" s="5"/>
      <c r="G548" s="5"/>
      <c r="H548" s="5"/>
      <c r="I548" s="14">
        <f>ROUND(E548,3)</f>
        <v>1</v>
      </c>
      <c r="J548" s="6"/>
      <c r="K548" s="6"/>
      <c r="L548" s="6"/>
    </row>
    <row r="549" spans="1:12" hidden="1" x14ac:dyDescent="0.2">
      <c r="A549" s="6"/>
      <c r="B549" s="6"/>
      <c r="C549" s="10"/>
      <c r="D549" s="2" t="s">
        <v>1239</v>
      </c>
      <c r="E549" s="1">
        <v>1</v>
      </c>
      <c r="F549" s="5"/>
      <c r="G549" s="5"/>
      <c r="H549" s="5"/>
      <c r="I549" s="14">
        <f>ROUND(E549,3)</f>
        <v>1</v>
      </c>
      <c r="J549" s="6"/>
      <c r="K549" s="6"/>
      <c r="L549" s="6"/>
    </row>
    <row r="550" spans="1:12" hidden="1" x14ac:dyDescent="0.2">
      <c r="A550" s="6"/>
      <c r="B550" s="6"/>
      <c r="C550" s="10"/>
      <c r="D550" s="2" t="s">
        <v>1240</v>
      </c>
      <c r="E550" s="1">
        <v>2</v>
      </c>
      <c r="F550" s="5"/>
      <c r="G550" s="5"/>
      <c r="H550" s="5"/>
      <c r="I550" s="14">
        <f>ROUND(E550,3)</f>
        <v>2</v>
      </c>
      <c r="J550" s="6"/>
      <c r="K550" s="6"/>
      <c r="L550" s="6"/>
    </row>
    <row r="551" spans="1:12" ht="22.5" hidden="1" x14ac:dyDescent="0.2">
      <c r="A551" s="6"/>
      <c r="B551" s="6"/>
      <c r="C551" s="10"/>
      <c r="D551" s="2" t="s">
        <v>1241</v>
      </c>
      <c r="E551" s="1"/>
      <c r="F551" s="5"/>
      <c r="G551" s="5"/>
      <c r="H551" s="5"/>
      <c r="I551" s="8" t="s">
        <v>1242</v>
      </c>
      <c r="J551" s="6"/>
      <c r="K551" s="6"/>
      <c r="L551" s="6"/>
    </row>
    <row r="552" spans="1:12" hidden="1" x14ac:dyDescent="0.2">
      <c r="A552" s="6"/>
      <c r="B552" s="6"/>
      <c r="C552" s="10"/>
      <c r="D552" s="2" t="s">
        <v>1243</v>
      </c>
      <c r="E552" s="1">
        <v>1</v>
      </c>
      <c r="F552" s="5"/>
      <c r="G552" s="5"/>
      <c r="H552" s="5"/>
      <c r="I552" s="14">
        <f t="shared" ref="I552:I557" si="2">ROUND(E552,3)</f>
        <v>1</v>
      </c>
      <c r="J552" s="6"/>
      <c r="K552" s="6"/>
      <c r="L552" s="6"/>
    </row>
    <row r="553" spans="1:12" hidden="1" x14ac:dyDescent="0.2">
      <c r="A553" s="6"/>
      <c r="B553" s="6"/>
      <c r="C553" s="10"/>
      <c r="D553" s="2" t="s">
        <v>1244</v>
      </c>
      <c r="E553" s="1">
        <v>2</v>
      </c>
      <c r="F553" s="5"/>
      <c r="G553" s="5"/>
      <c r="H553" s="5"/>
      <c r="I553" s="14">
        <f t="shared" si="2"/>
        <v>2</v>
      </c>
      <c r="J553" s="6"/>
      <c r="K553" s="6"/>
      <c r="L553" s="6"/>
    </row>
    <row r="554" spans="1:12" hidden="1" x14ac:dyDescent="0.2">
      <c r="A554" s="6"/>
      <c r="B554" s="6"/>
      <c r="C554" s="10"/>
      <c r="D554" s="2" t="s">
        <v>1245</v>
      </c>
      <c r="E554" s="1">
        <v>1</v>
      </c>
      <c r="F554" s="5"/>
      <c r="G554" s="5"/>
      <c r="H554" s="5"/>
      <c r="I554" s="14">
        <f t="shared" si="2"/>
        <v>1</v>
      </c>
      <c r="J554" s="6"/>
      <c r="K554" s="6"/>
      <c r="L554" s="6"/>
    </row>
    <row r="555" spans="1:12" hidden="1" x14ac:dyDescent="0.2">
      <c r="A555" s="6"/>
      <c r="B555" s="6"/>
      <c r="C555" s="10"/>
      <c r="D555" s="2" t="s">
        <v>1246</v>
      </c>
      <c r="E555" s="1">
        <v>1</v>
      </c>
      <c r="F555" s="5"/>
      <c r="G555" s="5"/>
      <c r="H555" s="5"/>
      <c r="I555" s="14">
        <f t="shared" si="2"/>
        <v>1</v>
      </c>
      <c r="J555" s="6"/>
      <c r="K555" s="6"/>
      <c r="L555" s="6"/>
    </row>
    <row r="556" spans="1:12" hidden="1" x14ac:dyDescent="0.2">
      <c r="A556" s="6"/>
      <c r="B556" s="6"/>
      <c r="C556" s="10"/>
      <c r="D556" s="2" t="s">
        <v>1247</v>
      </c>
      <c r="E556" s="1">
        <v>1</v>
      </c>
      <c r="F556" s="5"/>
      <c r="G556" s="5"/>
      <c r="H556" s="5"/>
      <c r="I556" s="14">
        <f t="shared" si="2"/>
        <v>1</v>
      </c>
      <c r="J556" s="6"/>
      <c r="K556" s="6"/>
      <c r="L556" s="6"/>
    </row>
    <row r="557" spans="1:12" hidden="1" x14ac:dyDescent="0.2">
      <c r="A557" s="6"/>
      <c r="B557" s="6"/>
      <c r="C557" s="10"/>
      <c r="D557" s="2" t="s">
        <v>1248</v>
      </c>
      <c r="E557" s="1">
        <v>1</v>
      </c>
      <c r="F557" s="5"/>
      <c r="G557" s="5"/>
      <c r="H557" s="5"/>
      <c r="I557" s="14">
        <f t="shared" si="2"/>
        <v>1</v>
      </c>
      <c r="J557" s="16">
        <f>SUM(I547:I557)</f>
        <v>11</v>
      </c>
      <c r="K557" s="6"/>
      <c r="L557" s="6"/>
    </row>
    <row r="558" spans="1:12" ht="15.4" hidden="1" customHeight="1" x14ac:dyDescent="0.2">
      <c r="A558" s="3" t="s">
        <v>1249</v>
      </c>
      <c r="B558" s="2" t="s">
        <v>1250</v>
      </c>
      <c r="C558" s="45" t="s">
        <v>1251</v>
      </c>
      <c r="D558" s="45"/>
      <c r="E558" s="45"/>
      <c r="F558" s="45"/>
      <c r="G558" s="45"/>
      <c r="H558" s="45"/>
      <c r="I558" s="45"/>
      <c r="J558" s="4">
        <f>SUM(J561:J567)</f>
        <v>5</v>
      </c>
      <c r="K558" s="5">
        <f>ROUND(0*(1+L2/100),2)</f>
        <v>0</v>
      </c>
      <c r="L558" s="5">
        <f>ROUND(J558*K558,2)</f>
        <v>0</v>
      </c>
    </row>
    <row r="559" spans="1:12" ht="40.5" hidden="1" customHeight="1" x14ac:dyDescent="0.2">
      <c r="A559" s="6"/>
      <c r="B559" s="6"/>
      <c r="C559" s="45" t="s">
        <v>1252</v>
      </c>
      <c r="D559" s="45"/>
      <c r="E559" s="45"/>
      <c r="F559" s="45"/>
      <c r="G559" s="45"/>
      <c r="H559" s="45"/>
      <c r="I559" s="45"/>
      <c r="J559" s="45"/>
      <c r="K559" s="45"/>
      <c r="L559" s="45"/>
    </row>
    <row r="560" spans="1:12" hidden="1" x14ac:dyDescent="0.2">
      <c r="A560" s="6"/>
      <c r="B560" s="6"/>
      <c r="C560" s="6"/>
      <c r="D560" s="7"/>
      <c r="E560" s="9" t="s">
        <v>1253</v>
      </c>
      <c r="F560" s="9" t="s">
        <v>1254</v>
      </c>
      <c r="G560" s="9" t="s">
        <v>1255</v>
      </c>
      <c r="H560" s="9" t="s">
        <v>1256</v>
      </c>
      <c r="I560" s="9" t="s">
        <v>1257</v>
      </c>
      <c r="J560" s="9" t="s">
        <v>1258</v>
      </c>
      <c r="K560" s="6"/>
      <c r="L560" s="6"/>
    </row>
    <row r="561" spans="1:24" ht="22.5" hidden="1" x14ac:dyDescent="0.2">
      <c r="A561" s="6"/>
      <c r="B561" s="6"/>
      <c r="C561" s="10"/>
      <c r="D561" s="11" t="s">
        <v>1259</v>
      </c>
      <c r="E561" s="12"/>
      <c r="F561" s="13"/>
      <c r="G561" s="13"/>
      <c r="H561" s="13"/>
      <c r="I561" s="19" t="s">
        <v>1260</v>
      </c>
      <c r="J561" s="18"/>
      <c r="K561" s="6"/>
      <c r="L561" s="6"/>
    </row>
    <row r="562" spans="1:24" hidden="1" x14ac:dyDescent="0.2">
      <c r="A562" s="6"/>
      <c r="B562" s="6"/>
      <c r="C562" s="10"/>
      <c r="D562" s="2" t="s">
        <v>1261</v>
      </c>
      <c r="E562" s="1">
        <v>1</v>
      </c>
      <c r="F562" s="5"/>
      <c r="G562" s="5"/>
      <c r="H562" s="5"/>
      <c r="I562" s="14">
        <f>ROUND(E562,3)</f>
        <v>1</v>
      </c>
      <c r="J562" s="6"/>
      <c r="K562" s="6"/>
      <c r="L562" s="6"/>
    </row>
    <row r="563" spans="1:24" hidden="1" x14ac:dyDescent="0.2">
      <c r="A563" s="6"/>
      <c r="B563" s="6"/>
      <c r="C563" s="10"/>
      <c r="D563" s="2" t="s">
        <v>1262</v>
      </c>
      <c r="E563" s="1">
        <v>1</v>
      </c>
      <c r="F563" s="5"/>
      <c r="G563" s="5"/>
      <c r="H563" s="5"/>
      <c r="I563" s="14">
        <f>ROUND(E563,3)</f>
        <v>1</v>
      </c>
      <c r="J563" s="6"/>
      <c r="K563" s="6"/>
      <c r="L563" s="6"/>
    </row>
    <row r="564" spans="1:24" hidden="1" x14ac:dyDescent="0.2">
      <c r="A564" s="6"/>
      <c r="B564" s="6"/>
      <c r="C564" s="10"/>
      <c r="D564" s="2" t="s">
        <v>1263</v>
      </c>
      <c r="E564" s="1">
        <v>1</v>
      </c>
      <c r="F564" s="5"/>
      <c r="G564" s="5"/>
      <c r="H564" s="5"/>
      <c r="I564" s="14">
        <f>ROUND(E564,3)</f>
        <v>1</v>
      </c>
      <c r="J564" s="6"/>
      <c r="K564" s="6"/>
      <c r="L564" s="6"/>
    </row>
    <row r="565" spans="1:24" hidden="1" x14ac:dyDescent="0.2">
      <c r="A565" s="6"/>
      <c r="B565" s="6"/>
      <c r="C565" s="10"/>
      <c r="D565" s="2" t="s">
        <v>1264</v>
      </c>
      <c r="E565" s="1">
        <v>1</v>
      </c>
      <c r="F565" s="5"/>
      <c r="G565" s="5"/>
      <c r="H565" s="5"/>
      <c r="I565" s="14">
        <f>ROUND(E565,3)</f>
        <v>1</v>
      </c>
      <c r="J565" s="6"/>
      <c r="K565" s="6"/>
      <c r="L565" s="6"/>
    </row>
    <row r="566" spans="1:24" ht="22.5" hidden="1" x14ac:dyDescent="0.2">
      <c r="A566" s="6"/>
      <c r="B566" s="6"/>
      <c r="C566" s="10"/>
      <c r="D566" s="2" t="s">
        <v>1265</v>
      </c>
      <c r="E566" s="1"/>
      <c r="F566" s="5"/>
      <c r="G566" s="5"/>
      <c r="H566" s="5"/>
      <c r="I566" s="8" t="s">
        <v>1266</v>
      </c>
      <c r="J566" s="6"/>
      <c r="K566" s="6"/>
      <c r="L566" s="6"/>
    </row>
    <row r="567" spans="1:24" hidden="1" x14ac:dyDescent="0.2">
      <c r="A567" s="6"/>
      <c r="B567" s="6"/>
      <c r="C567" s="10"/>
      <c r="D567" s="2" t="s">
        <v>1267</v>
      </c>
      <c r="E567" s="1">
        <v>1</v>
      </c>
      <c r="F567" s="5"/>
      <c r="G567" s="5"/>
      <c r="H567" s="5"/>
      <c r="I567" s="14">
        <f>ROUND(E567,3)</f>
        <v>1</v>
      </c>
      <c r="J567" s="16">
        <f>SUM(I561:I567)</f>
        <v>5</v>
      </c>
      <c r="K567" s="6"/>
      <c r="L567" s="6"/>
    </row>
    <row r="568" spans="1:24" ht="15.4" hidden="1" customHeight="1" x14ac:dyDescent="0.2">
      <c r="A568" s="3" t="s">
        <v>1268</v>
      </c>
      <c r="B568" s="2" t="s">
        <v>1269</v>
      </c>
      <c r="C568" s="45" t="s">
        <v>1270</v>
      </c>
      <c r="D568" s="45"/>
      <c r="E568" s="45"/>
      <c r="F568" s="45"/>
      <c r="G568" s="45"/>
      <c r="H568" s="45"/>
      <c r="I568" s="45"/>
      <c r="J568" s="4">
        <f>SUM(J571:J575)</f>
        <v>3</v>
      </c>
      <c r="K568" s="5">
        <f>ROUND(0*(1+L2/100),2)</f>
        <v>0</v>
      </c>
      <c r="L568" s="5">
        <f>ROUND(J568*K568,2)</f>
        <v>0</v>
      </c>
    </row>
    <row r="569" spans="1:24" ht="41.25" hidden="1" customHeight="1" x14ac:dyDescent="0.2">
      <c r="A569" s="6"/>
      <c r="B569" s="6"/>
      <c r="C569" s="45" t="s">
        <v>1271</v>
      </c>
      <c r="D569" s="45"/>
      <c r="E569" s="45"/>
      <c r="F569" s="45"/>
      <c r="G569" s="45"/>
      <c r="H569" s="45"/>
      <c r="I569" s="45"/>
      <c r="J569" s="45"/>
      <c r="K569" s="45"/>
      <c r="L569" s="45"/>
    </row>
    <row r="570" spans="1:24" ht="15.2" hidden="1" customHeight="1" x14ac:dyDescent="0.2">
      <c r="A570" s="6"/>
      <c r="B570" s="6"/>
      <c r="C570" s="6"/>
      <c r="D570" s="7"/>
      <c r="E570" s="9" t="s">
        <v>1272</v>
      </c>
      <c r="F570" s="9" t="s">
        <v>1273</v>
      </c>
      <c r="G570" s="9" t="s">
        <v>1274</v>
      </c>
      <c r="H570" s="9" t="s">
        <v>1275</v>
      </c>
      <c r="I570" s="9" t="s">
        <v>1276</v>
      </c>
      <c r="J570" s="9" t="s">
        <v>1277</v>
      </c>
      <c r="K570" s="6"/>
      <c r="L570" s="6"/>
    </row>
    <row r="571" spans="1:24" ht="22.5" hidden="1" x14ac:dyDescent="0.2">
      <c r="A571" s="6"/>
      <c r="B571" s="6"/>
      <c r="C571" s="10"/>
      <c r="D571" s="11" t="s">
        <v>1278</v>
      </c>
      <c r="E571" s="12"/>
      <c r="F571" s="13"/>
      <c r="G571" s="13"/>
      <c r="H571" s="13"/>
      <c r="I571" s="19" t="s">
        <v>1279</v>
      </c>
      <c r="J571" s="18"/>
      <c r="K571" s="6"/>
      <c r="L571" s="6"/>
    </row>
    <row r="572" spans="1:24" hidden="1" x14ac:dyDescent="0.2">
      <c r="A572" s="6"/>
      <c r="B572" s="6"/>
      <c r="C572" s="10"/>
      <c r="D572" s="2" t="s">
        <v>1280</v>
      </c>
      <c r="E572" s="1">
        <v>1</v>
      </c>
      <c r="F572" s="5"/>
      <c r="G572" s="5"/>
      <c r="H572" s="5"/>
      <c r="I572" s="14">
        <f>ROUND(E572,3)</f>
        <v>1</v>
      </c>
      <c r="J572" s="6"/>
      <c r="K572" s="6"/>
      <c r="L572" s="6"/>
    </row>
    <row r="573" spans="1:24" ht="22.5" hidden="1" x14ac:dyDescent="0.2">
      <c r="A573" s="6"/>
      <c r="B573" s="6"/>
      <c r="C573" s="10"/>
      <c r="D573" s="2" t="s">
        <v>1281</v>
      </c>
      <c r="E573" s="1"/>
      <c r="F573" s="5"/>
      <c r="G573" s="5"/>
      <c r="H573" s="5"/>
      <c r="I573" s="8" t="s">
        <v>1282</v>
      </c>
      <c r="J573" s="6"/>
      <c r="K573" s="6"/>
      <c r="L573" s="6"/>
    </row>
    <row r="574" spans="1:24" hidden="1" x14ac:dyDescent="0.2">
      <c r="A574" s="6"/>
      <c r="B574" s="6"/>
      <c r="C574" s="10"/>
      <c r="D574" s="2" t="s">
        <v>1283</v>
      </c>
      <c r="E574" s="1">
        <v>1</v>
      </c>
      <c r="F574" s="5"/>
      <c r="G574" s="5"/>
      <c r="H574" s="5"/>
      <c r="I574" s="14">
        <f>ROUND(E574,3)</f>
        <v>1</v>
      </c>
      <c r="J574" s="6"/>
      <c r="K574" s="6"/>
      <c r="L574" s="6"/>
    </row>
    <row r="575" spans="1:24" hidden="1" x14ac:dyDescent="0.2">
      <c r="A575" s="6"/>
      <c r="B575" s="6"/>
      <c r="C575" s="10"/>
      <c r="D575" s="2" t="s">
        <v>1284</v>
      </c>
      <c r="E575" s="1">
        <v>1</v>
      </c>
      <c r="F575" s="5"/>
      <c r="G575" s="5"/>
      <c r="H575" s="5"/>
      <c r="I575" s="14">
        <f>ROUND(E575,3)</f>
        <v>1</v>
      </c>
      <c r="J575" s="16">
        <f>SUM(I571:I575)</f>
        <v>3</v>
      </c>
      <c r="K575" s="6"/>
      <c r="L575" s="6"/>
    </row>
    <row r="576" spans="1:24" ht="15.4" hidden="1" customHeight="1" x14ac:dyDescent="0.2">
      <c r="A576" s="37" t="s">
        <v>1285</v>
      </c>
      <c r="B576" s="34"/>
      <c r="C576" s="46" t="s">
        <v>1286</v>
      </c>
      <c r="D576" s="46"/>
      <c r="E576" s="46"/>
      <c r="F576" s="46"/>
      <c r="G576" s="46"/>
      <c r="H576" s="46"/>
      <c r="I576" s="46"/>
      <c r="J576" s="34"/>
      <c r="K576" s="35">
        <v>0</v>
      </c>
      <c r="L576" s="35">
        <f>ROUND(K576,2)</f>
        <v>0</v>
      </c>
      <c r="X576" s="58" t="s">
        <v>2188</v>
      </c>
    </row>
    <row r="577" spans="1:24" ht="15.4" hidden="1" customHeight="1" x14ac:dyDescent="0.2">
      <c r="A577" s="3" t="s">
        <v>1287</v>
      </c>
      <c r="B577" s="2" t="s">
        <v>1288</v>
      </c>
      <c r="C577" s="45" t="s">
        <v>1289</v>
      </c>
      <c r="D577" s="45"/>
      <c r="E577" s="45"/>
      <c r="F577" s="45"/>
      <c r="G577" s="45"/>
      <c r="H577" s="45"/>
      <c r="I577" s="45"/>
      <c r="J577" s="4">
        <f>SUM(J580:J581)</f>
        <v>40</v>
      </c>
      <c r="K577" s="5">
        <f>ROUND(0*(1+L2/100),2)</f>
        <v>0</v>
      </c>
      <c r="L577" s="5">
        <f>ROUND(J577*K577,2)</f>
        <v>0</v>
      </c>
      <c r="X577" s="58" t="s">
        <v>2188</v>
      </c>
    </row>
    <row r="578" spans="1:24" ht="74.25" hidden="1" customHeight="1" x14ac:dyDescent="0.2">
      <c r="A578" s="6"/>
      <c r="B578" s="6"/>
      <c r="C578" s="45" t="s">
        <v>1290</v>
      </c>
      <c r="D578" s="45"/>
      <c r="E578" s="45"/>
      <c r="F578" s="45"/>
      <c r="G578" s="45"/>
      <c r="H578" s="45"/>
      <c r="I578" s="45"/>
      <c r="J578" s="45"/>
      <c r="K578" s="45"/>
      <c r="L578" s="45"/>
      <c r="X578" s="58" t="s">
        <v>2188</v>
      </c>
    </row>
    <row r="579" spans="1:24" ht="15.2" hidden="1" customHeight="1" x14ac:dyDescent="0.2">
      <c r="A579" s="6"/>
      <c r="B579" s="6"/>
      <c r="C579" s="6"/>
      <c r="D579" s="7"/>
      <c r="E579" s="9" t="s">
        <v>1291</v>
      </c>
      <c r="F579" s="9" t="s">
        <v>1292</v>
      </c>
      <c r="G579" s="9" t="s">
        <v>1293</v>
      </c>
      <c r="H579" s="9" t="s">
        <v>1294</v>
      </c>
      <c r="I579" s="9" t="s">
        <v>1295</v>
      </c>
      <c r="J579" s="9" t="s">
        <v>1296</v>
      </c>
      <c r="K579" s="6"/>
      <c r="L579" s="6"/>
      <c r="X579" s="58" t="s">
        <v>2188</v>
      </c>
    </row>
    <row r="580" spans="1:24" ht="33.75" hidden="1" x14ac:dyDescent="0.2">
      <c r="A580" s="6"/>
      <c r="B580" s="6"/>
      <c r="C580" s="10"/>
      <c r="D580" s="11" t="s">
        <v>1297</v>
      </c>
      <c r="E580" s="12"/>
      <c r="F580" s="13"/>
      <c r="G580" s="13"/>
      <c r="H580" s="13"/>
      <c r="I580" s="19" t="s">
        <v>1298</v>
      </c>
      <c r="J580" s="18"/>
      <c r="K580" s="6"/>
      <c r="L580" s="6"/>
      <c r="X580" s="58" t="s">
        <v>2188</v>
      </c>
    </row>
    <row r="581" spans="1:24" hidden="1" x14ac:dyDescent="0.2">
      <c r="A581" s="6"/>
      <c r="B581" s="6"/>
      <c r="C581" s="10"/>
      <c r="D581" s="2" t="s">
        <v>1299</v>
      </c>
      <c r="E581" s="1">
        <v>1</v>
      </c>
      <c r="F581" s="5">
        <v>40</v>
      </c>
      <c r="G581" s="5"/>
      <c r="H581" s="5"/>
      <c r="I581" s="14">
        <f>ROUND(E581*F581,3)</f>
        <v>40</v>
      </c>
      <c r="J581" s="16">
        <f>SUM(I580:I581)</f>
        <v>40</v>
      </c>
      <c r="K581" s="6"/>
      <c r="L581" s="6"/>
      <c r="X581" s="58" t="s">
        <v>2188</v>
      </c>
    </row>
    <row r="582" spans="1:24" ht="15.4" hidden="1" customHeight="1" x14ac:dyDescent="0.2">
      <c r="A582" s="3" t="s">
        <v>1300</v>
      </c>
      <c r="B582" s="2" t="s">
        <v>1301</v>
      </c>
      <c r="C582" s="45" t="s">
        <v>1302</v>
      </c>
      <c r="D582" s="45"/>
      <c r="E582" s="45"/>
      <c r="F582" s="45"/>
      <c r="G582" s="45"/>
      <c r="H582" s="45"/>
      <c r="I582" s="45"/>
      <c r="J582" s="4">
        <f>SUM(J585:J600)</f>
        <v>25.74</v>
      </c>
      <c r="K582" s="5">
        <f>ROUND(0*(1+L2/100),2)</f>
        <v>0</v>
      </c>
      <c r="L582" s="5">
        <f>ROUND(J582*K582,2)</f>
        <v>0</v>
      </c>
      <c r="X582" s="58" t="s">
        <v>2188</v>
      </c>
    </row>
    <row r="583" spans="1:24" ht="74.25" hidden="1" customHeight="1" x14ac:dyDescent="0.2">
      <c r="A583" s="6"/>
      <c r="B583" s="6"/>
      <c r="C583" s="45" t="s">
        <v>1303</v>
      </c>
      <c r="D583" s="45"/>
      <c r="E583" s="45"/>
      <c r="F583" s="45"/>
      <c r="G583" s="45"/>
      <c r="H583" s="45"/>
      <c r="I583" s="45"/>
      <c r="J583" s="45"/>
      <c r="K583" s="45"/>
      <c r="L583" s="45"/>
      <c r="X583" s="58" t="s">
        <v>2188</v>
      </c>
    </row>
    <row r="584" spans="1:24" ht="15.2" hidden="1" customHeight="1" x14ac:dyDescent="0.2">
      <c r="A584" s="6"/>
      <c r="B584" s="6"/>
      <c r="C584" s="6"/>
      <c r="D584" s="7"/>
      <c r="E584" s="9" t="s">
        <v>1304</v>
      </c>
      <c r="F584" s="9" t="s">
        <v>1305</v>
      </c>
      <c r="G584" s="9" t="s">
        <v>1306</v>
      </c>
      <c r="H584" s="9" t="s">
        <v>1307</v>
      </c>
      <c r="I584" s="9" t="s">
        <v>1308</v>
      </c>
      <c r="J584" s="9" t="s">
        <v>1309</v>
      </c>
      <c r="K584" s="6"/>
      <c r="L584" s="6"/>
      <c r="X584" s="58" t="s">
        <v>2188</v>
      </c>
    </row>
    <row r="585" spans="1:24" hidden="1" x14ac:dyDescent="0.2">
      <c r="A585" s="6"/>
      <c r="B585" s="6"/>
      <c r="C585" s="10"/>
      <c r="D585" s="11" t="s">
        <v>1310</v>
      </c>
      <c r="E585" s="12"/>
      <c r="F585" s="13"/>
      <c r="G585" s="13"/>
      <c r="H585" s="13"/>
      <c r="I585" s="19" t="s">
        <v>1311</v>
      </c>
      <c r="J585" s="18"/>
      <c r="K585" s="6"/>
      <c r="L585" s="6"/>
      <c r="X585" s="58" t="s">
        <v>2188</v>
      </c>
    </row>
    <row r="586" spans="1:24" hidden="1" x14ac:dyDescent="0.2">
      <c r="A586" s="6"/>
      <c r="B586" s="6"/>
      <c r="C586" s="10"/>
      <c r="D586" s="2" t="s">
        <v>1312</v>
      </c>
      <c r="E586" s="1">
        <v>1</v>
      </c>
      <c r="F586" s="5">
        <v>1.3</v>
      </c>
      <c r="G586" s="5"/>
      <c r="H586" s="5"/>
      <c r="I586" s="14">
        <f>ROUND(E586*F586,3)</f>
        <v>1.3</v>
      </c>
      <c r="J586" s="6"/>
      <c r="K586" s="6"/>
      <c r="L586" s="6"/>
      <c r="X586" s="58" t="s">
        <v>2188</v>
      </c>
    </row>
    <row r="587" spans="1:24" hidden="1" x14ac:dyDescent="0.2">
      <c r="A587" s="6"/>
      <c r="B587" s="6"/>
      <c r="C587" s="10"/>
      <c r="D587" s="2" t="s">
        <v>1313</v>
      </c>
      <c r="E587" s="1">
        <v>1</v>
      </c>
      <c r="F587" s="5">
        <v>2</v>
      </c>
      <c r="G587" s="5"/>
      <c r="H587" s="5"/>
      <c r="I587" s="14">
        <f>ROUND(E587*F587,3)</f>
        <v>2</v>
      </c>
      <c r="J587" s="6"/>
      <c r="K587" s="6"/>
      <c r="L587" s="6"/>
      <c r="X587" s="58" t="s">
        <v>2188</v>
      </c>
    </row>
    <row r="588" spans="1:24" hidden="1" x14ac:dyDescent="0.2">
      <c r="A588" s="6"/>
      <c r="B588" s="6"/>
      <c r="C588" s="10"/>
      <c r="D588" s="2" t="s">
        <v>1314</v>
      </c>
      <c r="E588" s="1">
        <v>2</v>
      </c>
      <c r="F588" s="5">
        <v>1.5</v>
      </c>
      <c r="G588" s="5"/>
      <c r="H588" s="5"/>
      <c r="I588" s="14">
        <f>ROUND(E588*F588,3)</f>
        <v>3</v>
      </c>
      <c r="J588" s="6"/>
      <c r="K588" s="6"/>
      <c r="L588" s="6"/>
      <c r="X588" s="58" t="s">
        <v>2188</v>
      </c>
    </row>
    <row r="589" spans="1:24" hidden="1" x14ac:dyDescent="0.2">
      <c r="A589" s="6"/>
      <c r="B589" s="6"/>
      <c r="C589" s="10"/>
      <c r="D589" s="2" t="s">
        <v>1315</v>
      </c>
      <c r="E589" s="1">
        <v>1</v>
      </c>
      <c r="F589" s="5">
        <v>0.7</v>
      </c>
      <c r="G589" s="5"/>
      <c r="H589" s="5"/>
      <c r="I589" s="14">
        <f>ROUND(E589*F589,3)</f>
        <v>0.7</v>
      </c>
      <c r="J589" s="6"/>
      <c r="K589" s="6"/>
      <c r="L589" s="6"/>
      <c r="X589" s="58" t="s">
        <v>2188</v>
      </c>
    </row>
    <row r="590" spans="1:24" hidden="1" x14ac:dyDescent="0.2">
      <c r="A590" s="6"/>
      <c r="B590" s="6"/>
      <c r="C590" s="10"/>
      <c r="D590" s="2" t="s">
        <v>1316</v>
      </c>
      <c r="E590" s="1">
        <v>2</v>
      </c>
      <c r="F590" s="5">
        <v>0.5</v>
      </c>
      <c r="G590" s="5"/>
      <c r="H590" s="5"/>
      <c r="I590" s="14">
        <f>ROUND(E590*F590,3)</f>
        <v>1</v>
      </c>
      <c r="J590" s="6"/>
      <c r="K590" s="6"/>
      <c r="L590" s="6"/>
      <c r="X590" s="58" t="s">
        <v>2188</v>
      </c>
    </row>
    <row r="591" spans="1:24" hidden="1" x14ac:dyDescent="0.2">
      <c r="A591" s="6"/>
      <c r="B591" s="6"/>
      <c r="C591" s="10"/>
      <c r="D591" s="2" t="s">
        <v>1317</v>
      </c>
      <c r="E591" s="1"/>
      <c r="F591" s="5"/>
      <c r="G591" s="5"/>
      <c r="H591" s="5"/>
      <c r="I591" s="8" t="s">
        <v>1318</v>
      </c>
      <c r="J591" s="6"/>
      <c r="K591" s="6"/>
      <c r="L591" s="6"/>
      <c r="X591" s="58" t="s">
        <v>2188</v>
      </c>
    </row>
    <row r="592" spans="1:24" hidden="1" x14ac:dyDescent="0.2">
      <c r="A592" s="6"/>
      <c r="B592" s="6"/>
      <c r="C592" s="10"/>
      <c r="D592" s="2" t="s">
        <v>1319</v>
      </c>
      <c r="E592" s="1">
        <v>1</v>
      </c>
      <c r="F592" s="5">
        <v>2.1</v>
      </c>
      <c r="G592" s="5"/>
      <c r="H592" s="5"/>
      <c r="I592" s="14">
        <f t="shared" ref="I592:I600" si="3">ROUND(E592*F592,3)</f>
        <v>2.1</v>
      </c>
      <c r="J592" s="6"/>
      <c r="K592" s="6"/>
      <c r="L592" s="6"/>
      <c r="X592" s="58" t="s">
        <v>2188</v>
      </c>
    </row>
    <row r="593" spans="1:28" hidden="1" x14ac:dyDescent="0.2">
      <c r="A593" s="6"/>
      <c r="B593" s="6"/>
      <c r="C593" s="10"/>
      <c r="D593" s="2" t="s">
        <v>1320</v>
      </c>
      <c r="E593" s="1">
        <v>1</v>
      </c>
      <c r="F593" s="5">
        <v>0.85</v>
      </c>
      <c r="G593" s="5"/>
      <c r="H593" s="5"/>
      <c r="I593" s="14">
        <f t="shared" si="3"/>
        <v>0.85</v>
      </c>
      <c r="J593" s="6"/>
      <c r="K593" s="6"/>
      <c r="L593" s="6"/>
      <c r="X593" s="58" t="s">
        <v>2188</v>
      </c>
    </row>
    <row r="594" spans="1:28" hidden="1" x14ac:dyDescent="0.2">
      <c r="A594" s="6"/>
      <c r="B594" s="6"/>
      <c r="C594" s="10"/>
      <c r="D594" s="2" t="s">
        <v>1321</v>
      </c>
      <c r="E594" s="1">
        <v>1</v>
      </c>
      <c r="F594" s="5">
        <v>0.85</v>
      </c>
      <c r="G594" s="5"/>
      <c r="H594" s="5"/>
      <c r="I594" s="14">
        <f t="shared" si="3"/>
        <v>0.85</v>
      </c>
      <c r="J594" s="6"/>
      <c r="K594" s="6"/>
      <c r="L594" s="6"/>
      <c r="X594" s="58" t="s">
        <v>2188</v>
      </c>
    </row>
    <row r="595" spans="1:28" hidden="1" x14ac:dyDescent="0.2">
      <c r="A595" s="6"/>
      <c r="B595" s="6"/>
      <c r="C595" s="10"/>
      <c r="D595" s="2" t="s">
        <v>1322</v>
      </c>
      <c r="E595" s="1">
        <v>1</v>
      </c>
      <c r="F595" s="5">
        <v>7.14</v>
      </c>
      <c r="G595" s="5"/>
      <c r="H595" s="5"/>
      <c r="I595" s="14">
        <f t="shared" si="3"/>
        <v>7.14</v>
      </c>
      <c r="J595" s="6"/>
      <c r="K595" s="6"/>
      <c r="L595" s="6"/>
      <c r="X595" s="58" t="s">
        <v>2188</v>
      </c>
    </row>
    <row r="596" spans="1:28" hidden="1" x14ac:dyDescent="0.2">
      <c r="A596" s="6"/>
      <c r="B596" s="6"/>
      <c r="C596" s="10"/>
      <c r="D596" s="2" t="s">
        <v>1323</v>
      </c>
      <c r="E596" s="1">
        <v>1</v>
      </c>
      <c r="F596" s="5">
        <v>1.6</v>
      </c>
      <c r="G596" s="5"/>
      <c r="H596" s="5"/>
      <c r="I596" s="14">
        <f t="shared" si="3"/>
        <v>1.6</v>
      </c>
      <c r="J596" s="6"/>
      <c r="K596" s="6"/>
      <c r="L596" s="6"/>
      <c r="X596" s="58" t="s">
        <v>2188</v>
      </c>
    </row>
    <row r="597" spans="1:28" hidden="1" x14ac:dyDescent="0.2">
      <c r="A597" s="6"/>
      <c r="B597" s="6"/>
      <c r="C597" s="10"/>
      <c r="D597" s="2" t="s">
        <v>1324</v>
      </c>
      <c r="E597" s="1">
        <v>1</v>
      </c>
      <c r="F597" s="5">
        <v>1.7</v>
      </c>
      <c r="G597" s="5"/>
      <c r="H597" s="5"/>
      <c r="I597" s="14">
        <f t="shared" si="3"/>
        <v>1.7</v>
      </c>
      <c r="J597" s="6"/>
      <c r="K597" s="6"/>
      <c r="L597" s="6"/>
      <c r="X597" s="58" t="s">
        <v>2188</v>
      </c>
    </row>
    <row r="598" spans="1:28" hidden="1" x14ac:dyDescent="0.2">
      <c r="A598" s="6"/>
      <c r="B598" s="6"/>
      <c r="C598" s="10"/>
      <c r="D598" s="2" t="s">
        <v>1325</v>
      </c>
      <c r="E598" s="1">
        <v>1</v>
      </c>
      <c r="F598" s="5">
        <v>0.9</v>
      </c>
      <c r="G598" s="5"/>
      <c r="H598" s="5"/>
      <c r="I598" s="14">
        <f t="shared" si="3"/>
        <v>0.9</v>
      </c>
      <c r="J598" s="6"/>
      <c r="K598" s="6"/>
      <c r="L598" s="6"/>
      <c r="X598" s="58" t="s">
        <v>2188</v>
      </c>
    </row>
    <row r="599" spans="1:28" hidden="1" x14ac:dyDescent="0.2">
      <c r="A599" s="6"/>
      <c r="B599" s="6"/>
      <c r="C599" s="10"/>
      <c r="D599" s="2" t="s">
        <v>1326</v>
      </c>
      <c r="E599" s="1">
        <v>1</v>
      </c>
      <c r="F599" s="5">
        <v>1.1000000000000001</v>
      </c>
      <c r="G599" s="5"/>
      <c r="H599" s="5"/>
      <c r="I599" s="14">
        <f t="shared" si="3"/>
        <v>1.1000000000000001</v>
      </c>
      <c r="J599" s="6"/>
      <c r="K599" s="6"/>
      <c r="L599" s="6"/>
      <c r="X599" s="58" t="s">
        <v>2188</v>
      </c>
    </row>
    <row r="600" spans="1:28" hidden="1" x14ac:dyDescent="0.2">
      <c r="A600" s="6"/>
      <c r="B600" s="6"/>
      <c r="C600" s="10"/>
      <c r="D600" s="2" t="s">
        <v>1327</v>
      </c>
      <c r="E600" s="1">
        <v>1</v>
      </c>
      <c r="F600" s="5">
        <v>1.5</v>
      </c>
      <c r="G600" s="5"/>
      <c r="H600" s="5"/>
      <c r="I600" s="14">
        <f t="shared" si="3"/>
        <v>1.5</v>
      </c>
      <c r="J600" s="16">
        <f>SUM(I585:I600)</f>
        <v>25.74</v>
      </c>
      <c r="K600" s="6"/>
      <c r="L600" s="6"/>
      <c r="X600" s="58" t="s">
        <v>2188</v>
      </c>
    </row>
    <row r="601" spans="1:28" ht="15.4" hidden="1" customHeight="1" x14ac:dyDescent="0.2">
      <c r="A601" s="37" t="s">
        <v>1328</v>
      </c>
      <c r="B601" s="34"/>
      <c r="C601" s="46" t="s">
        <v>1329</v>
      </c>
      <c r="D601" s="46"/>
      <c r="E601" s="46"/>
      <c r="F601" s="46"/>
      <c r="G601" s="46"/>
      <c r="H601" s="46"/>
      <c r="I601" s="46"/>
      <c r="J601" s="34"/>
      <c r="K601" s="35">
        <v>0</v>
      </c>
      <c r="L601" s="35">
        <f>ROUND(K601,2)</f>
        <v>0</v>
      </c>
    </row>
    <row r="602" spans="1:28" ht="15.4" hidden="1" customHeight="1" x14ac:dyDescent="0.2">
      <c r="A602" s="3" t="s">
        <v>1330</v>
      </c>
      <c r="B602" s="2" t="s">
        <v>1331</v>
      </c>
      <c r="C602" s="45" t="s">
        <v>1332</v>
      </c>
      <c r="D602" s="45"/>
      <c r="E602" s="45"/>
      <c r="F602" s="45"/>
      <c r="G602" s="45"/>
      <c r="H602" s="45"/>
      <c r="I602" s="45"/>
      <c r="J602" s="4">
        <f>ROUND(186.87,2)</f>
        <v>186.87</v>
      </c>
      <c r="K602" s="5">
        <f>ROUND(0*(1+L2/100),2)</f>
        <v>0</v>
      </c>
      <c r="L602" s="5">
        <f>ROUND(J602*K602,2)</f>
        <v>0</v>
      </c>
    </row>
    <row r="603" spans="1:28" ht="64.5" hidden="1" customHeight="1" x14ac:dyDescent="0.2">
      <c r="A603" s="6"/>
      <c r="B603" s="6"/>
      <c r="C603" s="45" t="s">
        <v>1333</v>
      </c>
      <c r="D603" s="45"/>
      <c r="E603" s="45"/>
      <c r="F603" s="45"/>
      <c r="G603" s="45"/>
      <c r="H603" s="45"/>
      <c r="I603" s="45"/>
      <c r="J603" s="45"/>
      <c r="K603" s="45"/>
      <c r="L603" s="45"/>
    </row>
    <row r="604" spans="1:28" ht="15.4" hidden="1" customHeight="1" x14ac:dyDescent="0.2">
      <c r="A604" s="3" t="s">
        <v>1334</v>
      </c>
      <c r="B604" s="2" t="s">
        <v>1335</v>
      </c>
      <c r="C604" s="45" t="s">
        <v>1336</v>
      </c>
      <c r="D604" s="45"/>
      <c r="E604" s="45"/>
      <c r="F604" s="45"/>
      <c r="G604" s="45"/>
      <c r="H604" s="45"/>
      <c r="I604" s="45"/>
      <c r="J604" s="4">
        <f>ROUND(186.87,2)</f>
        <v>186.87</v>
      </c>
      <c r="K604" s="5">
        <f>ROUND(0*(1+L2/100),2)</f>
        <v>0</v>
      </c>
      <c r="L604" s="5">
        <f>ROUND(J604*K604,2)</f>
        <v>0</v>
      </c>
    </row>
    <row r="605" spans="1:28" ht="244.5" hidden="1" customHeight="1" x14ac:dyDescent="0.2">
      <c r="A605" s="6"/>
      <c r="B605" s="6"/>
      <c r="C605" s="45" t="s">
        <v>1337</v>
      </c>
      <c r="D605" s="45"/>
      <c r="E605" s="45"/>
      <c r="F605" s="45"/>
      <c r="G605" s="45"/>
      <c r="H605" s="45"/>
      <c r="I605" s="45"/>
      <c r="J605" s="45"/>
      <c r="K605" s="45"/>
      <c r="L605" s="45"/>
    </row>
    <row r="606" spans="1:28" ht="15.4" hidden="1" customHeight="1" x14ac:dyDescent="0.2">
      <c r="A606" s="3" t="s">
        <v>1338</v>
      </c>
      <c r="B606" s="2" t="s">
        <v>1339</v>
      </c>
      <c r="C606" s="45" t="s">
        <v>1340</v>
      </c>
      <c r="D606" s="45"/>
      <c r="E606" s="45"/>
      <c r="F606" s="45"/>
      <c r="G606" s="45"/>
      <c r="H606" s="45"/>
      <c r="I606" s="45"/>
      <c r="J606" s="4">
        <f>ROUND(1,2)</f>
        <v>1</v>
      </c>
      <c r="K606" s="5">
        <f>ROUND(0*(1+L2/100),2)</f>
        <v>0</v>
      </c>
      <c r="L606" s="5">
        <f>ROUND(J606*K606,2)</f>
        <v>0</v>
      </c>
    </row>
    <row r="607" spans="1:28" ht="63" hidden="1" customHeight="1" x14ac:dyDescent="0.2">
      <c r="A607" s="6"/>
      <c r="B607" s="6"/>
      <c r="C607" s="45" t="s">
        <v>1341</v>
      </c>
      <c r="D607" s="45"/>
      <c r="E607" s="45"/>
      <c r="F607" s="45"/>
      <c r="G607" s="45"/>
      <c r="H607" s="45"/>
      <c r="I607" s="45"/>
      <c r="J607" s="45"/>
      <c r="K607" s="45"/>
      <c r="L607" s="45"/>
    </row>
    <row r="608" spans="1:28" ht="15.4" hidden="1" customHeight="1" x14ac:dyDescent="0.2">
      <c r="A608" s="31" t="s">
        <v>1342</v>
      </c>
      <c r="B608" s="28"/>
      <c r="C608" s="44" t="s">
        <v>1343</v>
      </c>
      <c r="D608" s="44"/>
      <c r="E608" s="44"/>
      <c r="F608" s="44"/>
      <c r="G608" s="44"/>
      <c r="H608" s="44"/>
      <c r="I608" s="44"/>
      <c r="J608" s="28"/>
      <c r="K608" s="29">
        <v>0</v>
      </c>
      <c r="L608" s="29">
        <f>ROUND(K608,2)</f>
        <v>0</v>
      </c>
      <c r="Y608" s="58" t="s">
        <v>2189</v>
      </c>
      <c r="Z608" s="58" t="s">
        <v>2190</v>
      </c>
      <c r="AA608" s="58" t="s">
        <v>2191</v>
      </c>
      <c r="AB608" s="58" t="s">
        <v>2192</v>
      </c>
    </row>
    <row r="609" spans="1:25" ht="15.4" hidden="1" customHeight="1" x14ac:dyDescent="0.2">
      <c r="A609" s="36" t="s">
        <v>1344</v>
      </c>
      <c r="B609" s="32"/>
      <c r="C609" s="47" t="s">
        <v>1345</v>
      </c>
      <c r="D609" s="47"/>
      <c r="E609" s="47"/>
      <c r="F609" s="47"/>
      <c r="G609" s="47"/>
      <c r="H609" s="47"/>
      <c r="I609" s="47"/>
      <c r="J609" s="32"/>
      <c r="K609" s="33">
        <v>0</v>
      </c>
      <c r="L609" s="33">
        <f>ROUND(K609,2)</f>
        <v>0</v>
      </c>
      <c r="Y609" s="58" t="s">
        <v>2189</v>
      </c>
    </row>
    <row r="610" spans="1:25" ht="15.4" hidden="1" customHeight="1" x14ac:dyDescent="0.2">
      <c r="A610" s="3" t="s">
        <v>1346</v>
      </c>
      <c r="B610" s="2" t="s">
        <v>1347</v>
      </c>
      <c r="C610" s="45" t="s">
        <v>1348</v>
      </c>
      <c r="D610" s="45"/>
      <c r="E610" s="45"/>
      <c r="F610" s="45"/>
      <c r="G610" s="45"/>
      <c r="H610" s="45"/>
      <c r="I610" s="45"/>
      <c r="J610" s="4">
        <f>ROUND(1,2)</f>
        <v>1</v>
      </c>
      <c r="K610" s="5">
        <f>ROUND(0*(1+L2/100),2)</f>
        <v>0</v>
      </c>
      <c r="L610" s="5">
        <f>ROUND(J610*K610,2)</f>
        <v>0</v>
      </c>
      <c r="Y610" s="58" t="s">
        <v>2189</v>
      </c>
    </row>
    <row r="611" spans="1:25" ht="29.25" hidden="1" customHeight="1" x14ac:dyDescent="0.2">
      <c r="A611" s="6"/>
      <c r="B611" s="6"/>
      <c r="C611" s="45" t="s">
        <v>1349</v>
      </c>
      <c r="D611" s="45"/>
      <c r="E611" s="45"/>
      <c r="F611" s="45"/>
      <c r="G611" s="45"/>
      <c r="H611" s="45"/>
      <c r="I611" s="45"/>
      <c r="J611" s="45"/>
      <c r="K611" s="45"/>
      <c r="L611" s="45"/>
      <c r="Y611" s="58" t="s">
        <v>2189</v>
      </c>
    </row>
    <row r="612" spans="1:25" ht="15.4" hidden="1" customHeight="1" x14ac:dyDescent="0.2">
      <c r="A612" s="3" t="s">
        <v>1350</v>
      </c>
      <c r="B612" s="2" t="s">
        <v>1351</v>
      </c>
      <c r="C612" s="45" t="s">
        <v>1352</v>
      </c>
      <c r="D612" s="45"/>
      <c r="E612" s="45"/>
      <c r="F612" s="45"/>
      <c r="G612" s="45"/>
      <c r="H612" s="45"/>
      <c r="I612" s="45"/>
      <c r="J612" s="4">
        <f>ROUND(0,2)</f>
        <v>0</v>
      </c>
      <c r="K612" s="5">
        <f>ROUND(0*(1+L2/100),2)</f>
        <v>0</v>
      </c>
      <c r="L612" s="5">
        <f>ROUND(J612*K612,2)</f>
        <v>0</v>
      </c>
      <c r="Y612" s="58" t="s">
        <v>2189</v>
      </c>
    </row>
    <row r="613" spans="1:25" ht="30" hidden="1" customHeight="1" x14ac:dyDescent="0.2">
      <c r="A613" s="6"/>
      <c r="B613" s="6"/>
      <c r="C613" s="45" t="s">
        <v>1353</v>
      </c>
      <c r="D613" s="45"/>
      <c r="E613" s="45"/>
      <c r="F613" s="45"/>
      <c r="G613" s="45"/>
      <c r="H613" s="45"/>
      <c r="I613" s="45"/>
      <c r="J613" s="45"/>
      <c r="K613" s="45"/>
      <c r="L613" s="45"/>
      <c r="Y613" s="58" t="s">
        <v>2189</v>
      </c>
    </row>
    <row r="614" spans="1:25" ht="15.4" hidden="1" customHeight="1" x14ac:dyDescent="0.2">
      <c r="A614" s="3" t="s">
        <v>1354</v>
      </c>
      <c r="B614" s="2" t="s">
        <v>1355</v>
      </c>
      <c r="C614" s="45" t="s">
        <v>1356</v>
      </c>
      <c r="D614" s="45"/>
      <c r="E614" s="45"/>
      <c r="F614" s="45"/>
      <c r="G614" s="45"/>
      <c r="H614" s="45"/>
      <c r="I614" s="45"/>
      <c r="J614" s="4">
        <f>ROUND(0,2)</f>
        <v>0</v>
      </c>
      <c r="K614" s="5">
        <f>ROUND(0*(1+L2/100),2)</f>
        <v>0</v>
      </c>
      <c r="L614" s="5">
        <f>ROUND(J614*K614,2)</f>
        <v>0</v>
      </c>
      <c r="Y614" s="58" t="s">
        <v>2189</v>
      </c>
    </row>
    <row r="615" spans="1:25" ht="29.25" hidden="1" customHeight="1" x14ac:dyDescent="0.2">
      <c r="A615" s="6"/>
      <c r="B615" s="6"/>
      <c r="C615" s="45" t="s">
        <v>1357</v>
      </c>
      <c r="D615" s="45"/>
      <c r="E615" s="45"/>
      <c r="F615" s="45"/>
      <c r="G615" s="45"/>
      <c r="H615" s="45"/>
      <c r="I615" s="45"/>
      <c r="J615" s="45"/>
      <c r="K615" s="45"/>
      <c r="L615" s="45"/>
      <c r="Y615" s="58" t="s">
        <v>2189</v>
      </c>
    </row>
    <row r="616" spans="1:25" ht="15.4" hidden="1" customHeight="1" x14ac:dyDescent="0.2">
      <c r="A616" s="3" t="s">
        <v>1358</v>
      </c>
      <c r="B616" s="2" t="s">
        <v>1359</v>
      </c>
      <c r="C616" s="45" t="s">
        <v>1360</v>
      </c>
      <c r="D616" s="45"/>
      <c r="E616" s="45"/>
      <c r="F616" s="45"/>
      <c r="G616" s="45"/>
      <c r="H616" s="45"/>
      <c r="I616" s="45"/>
      <c r="J616" s="4">
        <f>ROUND(0,2)</f>
        <v>0</v>
      </c>
      <c r="K616" s="5">
        <f>ROUND(0*(1+L2/100),2)</f>
        <v>0</v>
      </c>
      <c r="L616" s="5">
        <f>ROUND(J616*K616,2)</f>
        <v>0</v>
      </c>
      <c r="Y616" s="58" t="s">
        <v>2189</v>
      </c>
    </row>
    <row r="617" spans="1:25" ht="40.5" hidden="1" customHeight="1" x14ac:dyDescent="0.2">
      <c r="A617" s="6"/>
      <c r="B617" s="6"/>
      <c r="C617" s="45" t="s">
        <v>1361</v>
      </c>
      <c r="D617" s="45"/>
      <c r="E617" s="45"/>
      <c r="F617" s="45"/>
      <c r="G617" s="45"/>
      <c r="H617" s="45"/>
      <c r="I617" s="45"/>
      <c r="J617" s="45"/>
      <c r="K617" s="45"/>
      <c r="L617" s="45"/>
      <c r="Y617" s="58" t="s">
        <v>2189</v>
      </c>
    </row>
    <row r="618" spans="1:25" hidden="1" x14ac:dyDescent="0.2">
      <c r="A618" s="3" t="s">
        <v>1362</v>
      </c>
      <c r="B618" s="2" t="s">
        <v>1363</v>
      </c>
      <c r="C618" s="45" t="s">
        <v>1364</v>
      </c>
      <c r="D618" s="45"/>
      <c r="E618" s="45"/>
      <c r="F618" s="45"/>
      <c r="G618" s="45"/>
      <c r="H618" s="45"/>
      <c r="I618" s="45"/>
      <c r="J618" s="4">
        <f>ROUND(0,2)</f>
        <v>0</v>
      </c>
      <c r="K618" s="5">
        <f>ROUND(0*(1+L2/100),2)</f>
        <v>0</v>
      </c>
      <c r="L618" s="5">
        <f>ROUND(J618*K618,2)</f>
        <v>0</v>
      </c>
      <c r="Y618" s="58" t="s">
        <v>2189</v>
      </c>
    </row>
    <row r="619" spans="1:25" ht="27" hidden="1" customHeight="1" x14ac:dyDescent="0.2">
      <c r="A619" s="6"/>
      <c r="B619" s="6"/>
      <c r="C619" s="45" t="s">
        <v>1365</v>
      </c>
      <c r="D619" s="45"/>
      <c r="E619" s="45"/>
      <c r="F619" s="45"/>
      <c r="G619" s="45"/>
      <c r="H619" s="45"/>
      <c r="I619" s="45"/>
      <c r="J619" s="45"/>
      <c r="K619" s="45"/>
      <c r="L619" s="45"/>
      <c r="Y619" s="58" t="s">
        <v>2189</v>
      </c>
    </row>
    <row r="620" spans="1:25" hidden="1" x14ac:dyDescent="0.2">
      <c r="A620" s="3" t="s">
        <v>1366</v>
      </c>
      <c r="B620" s="2" t="s">
        <v>1367</v>
      </c>
      <c r="C620" s="45" t="s">
        <v>1368</v>
      </c>
      <c r="D620" s="45"/>
      <c r="E620" s="45"/>
      <c r="F620" s="45"/>
      <c r="G620" s="45"/>
      <c r="H620" s="45"/>
      <c r="I620" s="45"/>
      <c r="J620" s="4">
        <f>ROUND(1,2)</f>
        <v>1</v>
      </c>
      <c r="K620" s="5">
        <f>ROUND(0*(1+L2/100),2)</f>
        <v>0</v>
      </c>
      <c r="L620" s="5">
        <f>ROUND(J620*K620,2)</f>
        <v>0</v>
      </c>
      <c r="Y620" s="58" t="s">
        <v>2189</v>
      </c>
    </row>
    <row r="621" spans="1:25" ht="24.75" hidden="1" customHeight="1" x14ac:dyDescent="0.2">
      <c r="A621" s="6"/>
      <c r="B621" s="6"/>
      <c r="C621" s="45" t="s">
        <v>1369</v>
      </c>
      <c r="D621" s="45"/>
      <c r="E621" s="45"/>
      <c r="F621" s="45"/>
      <c r="G621" s="45"/>
      <c r="H621" s="45"/>
      <c r="I621" s="45"/>
      <c r="J621" s="45"/>
      <c r="K621" s="45"/>
      <c r="L621" s="45"/>
      <c r="Y621" s="58" t="s">
        <v>2189</v>
      </c>
    </row>
    <row r="622" spans="1:25" ht="15.4" hidden="1" customHeight="1" x14ac:dyDescent="0.2">
      <c r="A622" s="3" t="s">
        <v>1370</v>
      </c>
      <c r="B622" s="2" t="s">
        <v>1371</v>
      </c>
      <c r="C622" s="45" t="s">
        <v>1372</v>
      </c>
      <c r="D622" s="45"/>
      <c r="E622" s="45"/>
      <c r="F622" s="45"/>
      <c r="G622" s="45"/>
      <c r="H622" s="45"/>
      <c r="I622" s="45"/>
      <c r="J622" s="4">
        <f>ROUND(0,2)</f>
        <v>0</v>
      </c>
      <c r="K622" s="5">
        <f>ROUND(0*(1+L2/100),2)</f>
        <v>0</v>
      </c>
      <c r="L622" s="5">
        <f>ROUND(J622*K622,2)</f>
        <v>0</v>
      </c>
      <c r="Y622" s="58" t="s">
        <v>2189</v>
      </c>
    </row>
    <row r="623" spans="1:25" ht="52.5" hidden="1" customHeight="1" x14ac:dyDescent="0.2">
      <c r="A623" s="6"/>
      <c r="B623" s="6"/>
      <c r="C623" s="45" t="s">
        <v>1373</v>
      </c>
      <c r="D623" s="45"/>
      <c r="E623" s="45"/>
      <c r="F623" s="45"/>
      <c r="G623" s="45"/>
      <c r="H623" s="45"/>
      <c r="I623" s="45"/>
      <c r="J623" s="45"/>
      <c r="K623" s="45"/>
      <c r="L623" s="45"/>
      <c r="Y623" s="58" t="s">
        <v>2189</v>
      </c>
    </row>
    <row r="624" spans="1:25" hidden="1" x14ac:dyDescent="0.2">
      <c r="A624" s="3" t="s">
        <v>1374</v>
      </c>
      <c r="B624" s="2" t="s">
        <v>1375</v>
      </c>
      <c r="C624" s="45" t="s">
        <v>1376</v>
      </c>
      <c r="D624" s="45"/>
      <c r="E624" s="45"/>
      <c r="F624" s="45"/>
      <c r="G624" s="45"/>
      <c r="H624" s="45"/>
      <c r="I624" s="45"/>
      <c r="J624" s="4">
        <f>ROUND(0,2)</f>
        <v>0</v>
      </c>
      <c r="K624" s="5">
        <f>ROUND(0*(1+L2/100),2)</f>
        <v>0</v>
      </c>
      <c r="L624" s="5">
        <f>ROUND(J624*K624,2)</f>
        <v>0</v>
      </c>
      <c r="Y624" s="58" t="s">
        <v>2189</v>
      </c>
    </row>
    <row r="625" spans="1:27" ht="27.75" hidden="1" customHeight="1" x14ac:dyDescent="0.2">
      <c r="A625" s="6"/>
      <c r="B625" s="6"/>
      <c r="C625" s="45" t="s">
        <v>1377</v>
      </c>
      <c r="D625" s="45"/>
      <c r="E625" s="45"/>
      <c r="F625" s="45"/>
      <c r="G625" s="45"/>
      <c r="H625" s="45"/>
      <c r="I625" s="45"/>
      <c r="J625" s="45"/>
      <c r="K625" s="45"/>
      <c r="L625" s="45"/>
      <c r="Y625" s="58" t="s">
        <v>2189</v>
      </c>
    </row>
    <row r="626" spans="1:27" hidden="1" x14ac:dyDescent="0.2">
      <c r="A626" s="3" t="s">
        <v>1378</v>
      </c>
      <c r="B626" s="2" t="s">
        <v>1379</v>
      </c>
      <c r="C626" s="45" t="s">
        <v>1380</v>
      </c>
      <c r="D626" s="45"/>
      <c r="E626" s="45"/>
      <c r="F626" s="45"/>
      <c r="G626" s="45"/>
      <c r="H626" s="45"/>
      <c r="I626" s="45"/>
      <c r="J626" s="4">
        <f>ROUND(3,2)</f>
        <v>3</v>
      </c>
      <c r="K626" s="5">
        <f>ROUND(0*(1+L2/100),2)</f>
        <v>0</v>
      </c>
      <c r="L626" s="5">
        <f>ROUND(J626*K626,2)</f>
        <v>0</v>
      </c>
      <c r="Y626" s="58" t="s">
        <v>2189</v>
      </c>
    </row>
    <row r="627" spans="1:27" hidden="1" x14ac:dyDescent="0.2">
      <c r="A627" s="6"/>
      <c r="B627" s="6"/>
      <c r="C627" s="45" t="s">
        <v>1381</v>
      </c>
      <c r="D627" s="45"/>
      <c r="E627" s="45"/>
      <c r="F627" s="45"/>
      <c r="G627" s="45"/>
      <c r="H627" s="45"/>
      <c r="I627" s="45"/>
      <c r="J627" s="45"/>
      <c r="K627" s="45"/>
      <c r="L627" s="45"/>
      <c r="Y627" s="58" t="s">
        <v>2189</v>
      </c>
    </row>
    <row r="628" spans="1:27" ht="15.4" hidden="1" customHeight="1" x14ac:dyDescent="0.2">
      <c r="A628" s="3" t="s">
        <v>1382</v>
      </c>
      <c r="B628" s="2" t="s">
        <v>1383</v>
      </c>
      <c r="C628" s="45" t="s">
        <v>1384</v>
      </c>
      <c r="D628" s="45"/>
      <c r="E628" s="45"/>
      <c r="F628" s="45"/>
      <c r="G628" s="45"/>
      <c r="H628" s="45"/>
      <c r="I628" s="45"/>
      <c r="J628" s="4">
        <f>ROUND(0,2)</f>
        <v>0</v>
      </c>
      <c r="K628" s="5">
        <f>ROUND(0*(1+L2/100),2)</f>
        <v>0</v>
      </c>
      <c r="L628" s="5">
        <f>ROUND(J628*K628,2)</f>
        <v>0</v>
      </c>
      <c r="Y628" s="58" t="s">
        <v>2189</v>
      </c>
    </row>
    <row r="629" spans="1:27" ht="39" hidden="1" customHeight="1" x14ac:dyDescent="0.2">
      <c r="A629" s="6"/>
      <c r="B629" s="6"/>
      <c r="C629" s="45" t="s">
        <v>1385</v>
      </c>
      <c r="D629" s="45"/>
      <c r="E629" s="45"/>
      <c r="F629" s="45"/>
      <c r="G629" s="45"/>
      <c r="H629" s="45"/>
      <c r="I629" s="45"/>
      <c r="J629" s="45"/>
      <c r="K629" s="45"/>
      <c r="L629" s="45"/>
      <c r="Y629" s="58" t="s">
        <v>2189</v>
      </c>
    </row>
    <row r="630" spans="1:27" hidden="1" x14ac:dyDescent="0.2">
      <c r="A630" s="3" t="s">
        <v>1386</v>
      </c>
      <c r="B630" s="2" t="s">
        <v>1387</v>
      </c>
      <c r="C630" s="45" t="s">
        <v>1388</v>
      </c>
      <c r="D630" s="45"/>
      <c r="E630" s="45"/>
      <c r="F630" s="45"/>
      <c r="G630" s="45"/>
      <c r="H630" s="45"/>
      <c r="I630" s="45"/>
      <c r="J630" s="4">
        <f>ROUND(6,2)</f>
        <v>6</v>
      </c>
      <c r="K630" s="5">
        <f>ROUND(0*(1+L2/100),2)</f>
        <v>0</v>
      </c>
      <c r="L630" s="5">
        <f>ROUND(J630*K630,2)</f>
        <v>0</v>
      </c>
      <c r="Y630" s="58" t="s">
        <v>2189</v>
      </c>
    </row>
    <row r="631" spans="1:27" hidden="1" x14ac:dyDescent="0.2">
      <c r="A631" s="6"/>
      <c r="B631" s="6"/>
      <c r="C631" s="45" t="s">
        <v>1389</v>
      </c>
      <c r="D631" s="45"/>
      <c r="E631" s="45"/>
      <c r="F631" s="45"/>
      <c r="G631" s="45"/>
      <c r="H631" s="45"/>
      <c r="I631" s="45"/>
      <c r="J631" s="45"/>
      <c r="K631" s="45"/>
      <c r="L631" s="45"/>
      <c r="Y631" s="58" t="s">
        <v>2189</v>
      </c>
    </row>
    <row r="632" spans="1:27" ht="15.4" hidden="1" customHeight="1" x14ac:dyDescent="0.2">
      <c r="A632" s="37" t="s">
        <v>1390</v>
      </c>
      <c r="B632" s="34"/>
      <c r="C632" s="46" t="s">
        <v>1391</v>
      </c>
      <c r="D632" s="46"/>
      <c r="E632" s="46"/>
      <c r="F632" s="46"/>
      <c r="G632" s="46"/>
      <c r="H632" s="46"/>
      <c r="I632" s="46"/>
      <c r="J632" s="34"/>
      <c r="K632" s="35">
        <v>0</v>
      </c>
      <c r="L632" s="35">
        <f>ROUND(K632,2)</f>
        <v>0</v>
      </c>
      <c r="AA632" s="58" t="s">
        <v>2191</v>
      </c>
    </row>
    <row r="633" spans="1:27" ht="15.4" hidden="1" customHeight="1" x14ac:dyDescent="0.2">
      <c r="A633" s="3" t="s">
        <v>1392</v>
      </c>
      <c r="B633" s="2" t="s">
        <v>1393</v>
      </c>
      <c r="C633" s="45" t="s">
        <v>1394</v>
      </c>
      <c r="D633" s="45"/>
      <c r="E633" s="45"/>
      <c r="F633" s="45"/>
      <c r="G633" s="45"/>
      <c r="H633" s="45"/>
      <c r="I633" s="45"/>
      <c r="J633" s="4">
        <f>ROUND(1,2)</f>
        <v>1</v>
      </c>
      <c r="K633" s="5">
        <f>ROUND(0*(1+L2/100),2)</f>
        <v>0</v>
      </c>
      <c r="L633" s="5">
        <f>ROUND(J633*K633,2)</f>
        <v>0</v>
      </c>
      <c r="AA633" s="58" t="s">
        <v>2191</v>
      </c>
    </row>
    <row r="634" spans="1:27" ht="27" hidden="1" customHeight="1" x14ac:dyDescent="0.2">
      <c r="A634" s="6"/>
      <c r="B634" s="6"/>
      <c r="C634" s="45" t="s">
        <v>1395</v>
      </c>
      <c r="D634" s="45"/>
      <c r="E634" s="45"/>
      <c r="F634" s="45"/>
      <c r="G634" s="45"/>
      <c r="H634" s="45"/>
      <c r="I634" s="45"/>
      <c r="J634" s="45"/>
      <c r="K634" s="45"/>
      <c r="L634" s="45"/>
      <c r="AA634" s="58" t="s">
        <v>2191</v>
      </c>
    </row>
    <row r="635" spans="1:27" ht="15.4" hidden="1" customHeight="1" x14ac:dyDescent="0.2">
      <c r="A635" s="3" t="s">
        <v>1396</v>
      </c>
      <c r="B635" s="2" t="s">
        <v>1397</v>
      </c>
      <c r="C635" s="45" t="s">
        <v>1398</v>
      </c>
      <c r="D635" s="45"/>
      <c r="E635" s="45"/>
      <c r="F635" s="45"/>
      <c r="G635" s="45"/>
      <c r="H635" s="45"/>
      <c r="I635" s="45"/>
      <c r="J635" s="4">
        <f>ROUND(1,2)</f>
        <v>1</v>
      </c>
      <c r="K635" s="5">
        <f>ROUND(0*(1+L2/100),2)</f>
        <v>0</v>
      </c>
      <c r="L635" s="5">
        <f>ROUND(J635*K635,2)</f>
        <v>0</v>
      </c>
      <c r="AA635" s="58" t="s">
        <v>2191</v>
      </c>
    </row>
    <row r="636" spans="1:27" ht="29.25" hidden="1" customHeight="1" x14ac:dyDescent="0.2">
      <c r="A636" s="6"/>
      <c r="B636" s="6"/>
      <c r="C636" s="45" t="s">
        <v>1399</v>
      </c>
      <c r="D636" s="45"/>
      <c r="E636" s="45"/>
      <c r="F636" s="45"/>
      <c r="G636" s="45"/>
      <c r="H636" s="45"/>
      <c r="I636" s="45"/>
      <c r="J636" s="45"/>
      <c r="K636" s="45"/>
      <c r="L636" s="45"/>
      <c r="AA636" s="58" t="s">
        <v>2191</v>
      </c>
    </row>
    <row r="637" spans="1:27" ht="15.4" hidden="1" customHeight="1" x14ac:dyDescent="0.2">
      <c r="A637" s="3" t="s">
        <v>1400</v>
      </c>
      <c r="B637" s="2" t="s">
        <v>1401</v>
      </c>
      <c r="C637" s="45" t="s">
        <v>1402</v>
      </c>
      <c r="D637" s="45"/>
      <c r="E637" s="45"/>
      <c r="F637" s="45"/>
      <c r="G637" s="45"/>
      <c r="H637" s="45"/>
      <c r="I637" s="45"/>
      <c r="J637" s="4">
        <f>ROUND(1,2)</f>
        <v>1</v>
      </c>
      <c r="K637" s="5">
        <f>ROUND(0*(1+L2/100),2)</f>
        <v>0</v>
      </c>
      <c r="L637" s="5">
        <f>ROUND(J637*K637,2)</f>
        <v>0</v>
      </c>
      <c r="AA637" s="58" t="s">
        <v>2191</v>
      </c>
    </row>
    <row r="638" spans="1:27" ht="45.75" hidden="1" customHeight="1" x14ac:dyDescent="0.2">
      <c r="A638" s="6"/>
      <c r="B638" s="6"/>
      <c r="C638" s="45" t="s">
        <v>1403</v>
      </c>
      <c r="D638" s="45"/>
      <c r="E638" s="45"/>
      <c r="F638" s="45"/>
      <c r="G638" s="45"/>
      <c r="H638" s="45"/>
      <c r="I638" s="45"/>
      <c r="J638" s="45"/>
      <c r="K638" s="45"/>
      <c r="L638" s="45"/>
      <c r="AA638" s="58" t="s">
        <v>2191</v>
      </c>
    </row>
    <row r="639" spans="1:27" ht="15.4" hidden="1" customHeight="1" x14ac:dyDescent="0.2">
      <c r="A639" s="3" t="s">
        <v>1404</v>
      </c>
      <c r="B639" s="2" t="s">
        <v>1405</v>
      </c>
      <c r="C639" s="45" t="s">
        <v>1406</v>
      </c>
      <c r="D639" s="45"/>
      <c r="E639" s="45"/>
      <c r="F639" s="45"/>
      <c r="G639" s="45"/>
      <c r="H639" s="45"/>
      <c r="I639" s="45"/>
      <c r="J639" s="4">
        <f>ROUND(1,2)</f>
        <v>1</v>
      </c>
      <c r="K639" s="5">
        <f>ROUND(0*(1+L2/100),2)</f>
        <v>0</v>
      </c>
      <c r="L639" s="5">
        <f>ROUND(J639*K639,2)</f>
        <v>0</v>
      </c>
      <c r="AA639" s="58" t="s">
        <v>2191</v>
      </c>
    </row>
    <row r="640" spans="1:27" ht="27" hidden="1" customHeight="1" x14ac:dyDescent="0.2">
      <c r="A640" s="6"/>
      <c r="B640" s="6"/>
      <c r="C640" s="45" t="s">
        <v>1407</v>
      </c>
      <c r="D640" s="45"/>
      <c r="E640" s="45"/>
      <c r="F640" s="45"/>
      <c r="G640" s="45"/>
      <c r="H640" s="45"/>
      <c r="I640" s="45"/>
      <c r="J640" s="45"/>
      <c r="K640" s="45"/>
      <c r="L640" s="45"/>
      <c r="AA640" s="58" t="s">
        <v>2191</v>
      </c>
    </row>
    <row r="641" spans="1:27" hidden="1" x14ac:dyDescent="0.2">
      <c r="A641" s="3" t="s">
        <v>1408</v>
      </c>
      <c r="B641" s="2" t="s">
        <v>1409</v>
      </c>
      <c r="C641" s="45" t="s">
        <v>1410</v>
      </c>
      <c r="D641" s="45"/>
      <c r="E641" s="45"/>
      <c r="F641" s="45"/>
      <c r="G641" s="45"/>
      <c r="H641" s="45"/>
      <c r="I641" s="45"/>
      <c r="J641" s="4">
        <f>ROUND(1,2)</f>
        <v>1</v>
      </c>
      <c r="K641" s="5">
        <f>ROUND(0*(1+L2/100),2)</f>
        <v>0</v>
      </c>
      <c r="L641" s="5">
        <f>ROUND(J641*K641,2)</f>
        <v>0</v>
      </c>
      <c r="AA641" s="58" t="s">
        <v>2191</v>
      </c>
    </row>
    <row r="642" spans="1:27" hidden="1" x14ac:dyDescent="0.2">
      <c r="A642" s="6"/>
      <c r="B642" s="6"/>
      <c r="C642" s="45" t="s">
        <v>1411</v>
      </c>
      <c r="D642" s="45"/>
      <c r="E642" s="45"/>
      <c r="F642" s="45"/>
      <c r="G642" s="45"/>
      <c r="H642" s="45"/>
      <c r="I642" s="45"/>
      <c r="J642" s="45"/>
      <c r="K642" s="45"/>
      <c r="L642" s="45"/>
      <c r="AA642" s="58" t="s">
        <v>2191</v>
      </c>
    </row>
    <row r="643" spans="1:27" ht="15.4" hidden="1" customHeight="1" x14ac:dyDescent="0.2">
      <c r="A643" s="37" t="s">
        <v>1412</v>
      </c>
      <c r="B643" s="34"/>
      <c r="C643" s="46" t="s">
        <v>1413</v>
      </c>
      <c r="D643" s="46"/>
      <c r="E643" s="46"/>
      <c r="F643" s="46"/>
      <c r="G643" s="46"/>
      <c r="H643" s="46"/>
      <c r="I643" s="46"/>
      <c r="J643" s="34"/>
      <c r="K643" s="35">
        <v>0</v>
      </c>
      <c r="L643" s="35">
        <f>ROUND(K643,2)</f>
        <v>0</v>
      </c>
      <c r="Y643" s="58" t="s">
        <v>2189</v>
      </c>
    </row>
    <row r="644" spans="1:27" ht="15.4" hidden="1" customHeight="1" x14ac:dyDescent="0.2">
      <c r="A644" s="3" t="s">
        <v>1414</v>
      </c>
      <c r="B644" s="2" t="s">
        <v>1415</v>
      </c>
      <c r="C644" s="45" t="s">
        <v>1416</v>
      </c>
      <c r="D644" s="45"/>
      <c r="E644" s="45"/>
      <c r="F644" s="45"/>
      <c r="G644" s="45"/>
      <c r="H644" s="45"/>
      <c r="I644" s="45"/>
      <c r="J644" s="4">
        <f>ROUND(1,2)</f>
        <v>1</v>
      </c>
      <c r="K644" s="5">
        <f>ROUND(0*(1+L2/100),2)</f>
        <v>0</v>
      </c>
      <c r="L644" s="5">
        <f>ROUND(J644*K644,2)</f>
        <v>0</v>
      </c>
      <c r="Y644" s="58" t="s">
        <v>2189</v>
      </c>
    </row>
    <row r="645" spans="1:27" ht="130.5" hidden="1" customHeight="1" x14ac:dyDescent="0.2">
      <c r="A645" s="6"/>
      <c r="B645" s="6"/>
      <c r="C645" s="45" t="s">
        <v>1417</v>
      </c>
      <c r="D645" s="45"/>
      <c r="E645" s="45"/>
      <c r="F645" s="45"/>
      <c r="G645" s="45"/>
      <c r="H645" s="45"/>
      <c r="I645" s="45"/>
      <c r="J645" s="45"/>
      <c r="K645" s="45"/>
      <c r="L645" s="45"/>
      <c r="Y645" s="58" t="s">
        <v>2189</v>
      </c>
    </row>
    <row r="646" spans="1:27" ht="15.4" hidden="1" customHeight="1" x14ac:dyDescent="0.2">
      <c r="A646" s="3" t="s">
        <v>1418</v>
      </c>
      <c r="B646" s="2" t="s">
        <v>1419</v>
      </c>
      <c r="C646" s="45" t="s">
        <v>1420</v>
      </c>
      <c r="D646" s="45"/>
      <c r="E646" s="45"/>
      <c r="F646" s="45"/>
      <c r="G646" s="45"/>
      <c r="H646" s="45"/>
      <c r="I646" s="45"/>
      <c r="J646" s="4">
        <f>ROUND(1,2)</f>
        <v>1</v>
      </c>
      <c r="K646" s="5">
        <f>ROUND(0*(1+L2/100),2)</f>
        <v>0</v>
      </c>
      <c r="L646" s="5">
        <f>ROUND(J646*K646,2)</f>
        <v>0</v>
      </c>
      <c r="Y646" s="58" t="s">
        <v>2189</v>
      </c>
    </row>
    <row r="647" spans="1:27" ht="27" hidden="1" customHeight="1" x14ac:dyDescent="0.2">
      <c r="A647" s="6"/>
      <c r="B647" s="6"/>
      <c r="C647" s="45" t="s">
        <v>1421</v>
      </c>
      <c r="D647" s="45"/>
      <c r="E647" s="45"/>
      <c r="F647" s="45"/>
      <c r="G647" s="45"/>
      <c r="H647" s="45"/>
      <c r="I647" s="45"/>
      <c r="J647" s="45"/>
      <c r="K647" s="45"/>
      <c r="L647" s="45"/>
      <c r="Y647" s="58" t="s">
        <v>2189</v>
      </c>
    </row>
    <row r="648" spans="1:27" ht="15.4" hidden="1" customHeight="1" x14ac:dyDescent="0.2">
      <c r="A648" s="3" t="s">
        <v>1422</v>
      </c>
      <c r="B648" s="2" t="s">
        <v>1423</v>
      </c>
      <c r="C648" s="45" t="s">
        <v>1424</v>
      </c>
      <c r="D648" s="45"/>
      <c r="E648" s="45"/>
      <c r="F648" s="45"/>
      <c r="G648" s="45"/>
      <c r="H648" s="45"/>
      <c r="I648" s="45"/>
      <c r="J648" s="4">
        <f>ROUND(1,2)</f>
        <v>1</v>
      </c>
      <c r="K648" s="5">
        <f>ROUND(0*(1+L2/100),2)</f>
        <v>0</v>
      </c>
      <c r="L648" s="5">
        <f>ROUND(J648*K648,2)</f>
        <v>0</v>
      </c>
      <c r="Y648" s="58" t="s">
        <v>2189</v>
      </c>
    </row>
    <row r="649" spans="1:27" ht="66" hidden="1" customHeight="1" x14ac:dyDescent="0.2">
      <c r="A649" s="6"/>
      <c r="B649" s="6"/>
      <c r="C649" s="45" t="s">
        <v>1425</v>
      </c>
      <c r="D649" s="45"/>
      <c r="E649" s="45"/>
      <c r="F649" s="45"/>
      <c r="G649" s="45"/>
      <c r="H649" s="45"/>
      <c r="I649" s="45"/>
      <c r="J649" s="45"/>
      <c r="K649" s="45"/>
      <c r="L649" s="45"/>
      <c r="Y649" s="58" t="s">
        <v>2189</v>
      </c>
    </row>
    <row r="650" spans="1:27" ht="15.4" hidden="1" customHeight="1" x14ac:dyDescent="0.2">
      <c r="A650" s="37" t="s">
        <v>1426</v>
      </c>
      <c r="B650" s="34"/>
      <c r="C650" s="46" t="s">
        <v>1427</v>
      </c>
      <c r="D650" s="46"/>
      <c r="E650" s="46"/>
      <c r="F650" s="46"/>
      <c r="G650" s="46"/>
      <c r="H650" s="46"/>
      <c r="I650" s="46"/>
      <c r="J650" s="34"/>
      <c r="K650" s="35">
        <v>0</v>
      </c>
      <c r="L650" s="35">
        <f>ROUND(K650,2)</f>
        <v>0</v>
      </c>
      <c r="Z650" s="58" t="s">
        <v>2190</v>
      </c>
    </row>
    <row r="651" spans="1:27" ht="15.4" hidden="1" customHeight="1" x14ac:dyDescent="0.2">
      <c r="A651" s="3" t="s">
        <v>1428</v>
      </c>
      <c r="B651" s="2" t="s">
        <v>1429</v>
      </c>
      <c r="C651" s="45" t="s">
        <v>1430</v>
      </c>
      <c r="D651" s="45"/>
      <c r="E651" s="45"/>
      <c r="F651" s="45"/>
      <c r="G651" s="45"/>
      <c r="H651" s="45"/>
      <c r="I651" s="45"/>
      <c r="J651" s="4">
        <f>ROUND(1,2)</f>
        <v>1</v>
      </c>
      <c r="K651" s="5">
        <f>ROUND(0*(1+L2/100),2)</f>
        <v>0</v>
      </c>
      <c r="L651" s="5">
        <f>ROUND(J651*K651,2)</f>
        <v>0</v>
      </c>
      <c r="Z651" s="58" t="s">
        <v>2190</v>
      </c>
    </row>
    <row r="652" spans="1:27" ht="133.5" hidden="1" customHeight="1" x14ac:dyDescent="0.2">
      <c r="A652" s="6"/>
      <c r="B652" s="6"/>
      <c r="C652" s="45" t="s">
        <v>1431</v>
      </c>
      <c r="D652" s="45"/>
      <c r="E652" s="45"/>
      <c r="F652" s="45"/>
      <c r="G652" s="45"/>
      <c r="H652" s="45"/>
      <c r="I652" s="45"/>
      <c r="J652" s="45"/>
      <c r="K652" s="45"/>
      <c r="L652" s="45"/>
      <c r="Z652" s="58" t="s">
        <v>2190</v>
      </c>
    </row>
    <row r="653" spans="1:27" hidden="1" x14ac:dyDescent="0.2">
      <c r="A653" s="37" t="s">
        <v>1432</v>
      </c>
      <c r="B653" s="34"/>
      <c r="C653" s="46" t="s">
        <v>1433</v>
      </c>
      <c r="D653" s="46"/>
      <c r="E653" s="46"/>
      <c r="F653" s="46"/>
      <c r="G653" s="46"/>
      <c r="H653" s="46"/>
      <c r="I653" s="46"/>
      <c r="J653" s="34"/>
      <c r="K653" s="35">
        <v>0</v>
      </c>
      <c r="L653" s="35">
        <f>ROUND(K653,2)</f>
        <v>0</v>
      </c>
      <c r="Y653" s="58" t="s">
        <v>2189</v>
      </c>
    </row>
    <row r="654" spans="1:27" hidden="1" x14ac:dyDescent="0.2">
      <c r="A654" s="42" t="s">
        <v>1434</v>
      </c>
      <c r="B654" s="38"/>
      <c r="C654" s="48" t="s">
        <v>1435</v>
      </c>
      <c r="D654" s="48"/>
      <c r="E654" s="48"/>
      <c r="F654" s="48"/>
      <c r="G654" s="48"/>
      <c r="H654" s="48"/>
      <c r="I654" s="48"/>
      <c r="J654" s="38"/>
      <c r="K654" s="39">
        <v>0</v>
      </c>
      <c r="L654" s="39">
        <f>ROUND(K654,2)</f>
        <v>0</v>
      </c>
      <c r="Y654" s="58" t="s">
        <v>2189</v>
      </c>
    </row>
    <row r="655" spans="1:27" hidden="1" x14ac:dyDescent="0.2">
      <c r="A655" s="3" t="s">
        <v>1436</v>
      </c>
      <c r="B655" s="2" t="s">
        <v>1437</v>
      </c>
      <c r="C655" s="45" t="s">
        <v>1438</v>
      </c>
      <c r="D655" s="45"/>
      <c r="E655" s="45"/>
      <c r="F655" s="45"/>
      <c r="G655" s="45"/>
      <c r="H655" s="45"/>
      <c r="I655" s="45"/>
      <c r="J655" s="4">
        <f>ROUND(30,2)</f>
        <v>30</v>
      </c>
      <c r="K655" s="5">
        <f>ROUND(0*(1+L2/100),2)</f>
        <v>0</v>
      </c>
      <c r="L655" s="5">
        <f>ROUND(J655*K655,2)</f>
        <v>0</v>
      </c>
      <c r="Y655" s="58" t="s">
        <v>2189</v>
      </c>
    </row>
    <row r="656" spans="1:27" hidden="1" x14ac:dyDescent="0.2">
      <c r="A656" s="6"/>
      <c r="B656" s="6"/>
      <c r="C656" s="45" t="s">
        <v>1439</v>
      </c>
      <c r="D656" s="45"/>
      <c r="E656" s="45"/>
      <c r="F656" s="45"/>
      <c r="G656" s="45"/>
      <c r="H656" s="45"/>
      <c r="I656" s="45"/>
      <c r="J656" s="45"/>
      <c r="K656" s="45"/>
      <c r="L656" s="45"/>
      <c r="Y656" s="58" t="s">
        <v>2189</v>
      </c>
    </row>
    <row r="657" spans="1:26" hidden="1" x14ac:dyDescent="0.2">
      <c r="A657" s="3" t="s">
        <v>1440</v>
      </c>
      <c r="B657" s="2" t="s">
        <v>1441</v>
      </c>
      <c r="C657" s="45" t="s">
        <v>1442</v>
      </c>
      <c r="D657" s="45"/>
      <c r="E657" s="45"/>
      <c r="F657" s="45"/>
      <c r="G657" s="45"/>
      <c r="H657" s="45"/>
      <c r="I657" s="45"/>
      <c r="J657" s="4">
        <f>ROUND(0,2)</f>
        <v>0</v>
      </c>
      <c r="K657" s="5">
        <f>ROUND(0*(1+L2/100),2)</f>
        <v>0</v>
      </c>
      <c r="L657" s="5">
        <f>ROUND(J657*K657,2)</f>
        <v>0</v>
      </c>
      <c r="Y657" s="58" t="s">
        <v>2189</v>
      </c>
    </row>
    <row r="658" spans="1:26" ht="28.5" hidden="1" customHeight="1" x14ac:dyDescent="0.2">
      <c r="A658" s="6"/>
      <c r="B658" s="6"/>
      <c r="C658" s="45" t="s">
        <v>1443</v>
      </c>
      <c r="D658" s="45"/>
      <c r="E658" s="45"/>
      <c r="F658" s="45"/>
      <c r="G658" s="45"/>
      <c r="H658" s="45"/>
      <c r="I658" s="45"/>
      <c r="J658" s="45"/>
      <c r="K658" s="45"/>
      <c r="L658" s="45"/>
      <c r="Y658" s="58" t="s">
        <v>2189</v>
      </c>
    </row>
    <row r="659" spans="1:26" hidden="1" x14ac:dyDescent="0.2">
      <c r="A659" s="3" t="s">
        <v>1444</v>
      </c>
      <c r="B659" s="2" t="s">
        <v>1445</v>
      </c>
      <c r="C659" s="45" t="s">
        <v>1446</v>
      </c>
      <c r="D659" s="45"/>
      <c r="E659" s="45"/>
      <c r="F659" s="45"/>
      <c r="G659" s="45"/>
      <c r="H659" s="45"/>
      <c r="I659" s="45"/>
      <c r="J659" s="4">
        <f>ROUND(2,2)</f>
        <v>2</v>
      </c>
      <c r="K659" s="5">
        <f>ROUND(0*(1+L2/100),2)</f>
        <v>0</v>
      </c>
      <c r="L659" s="5">
        <f>ROUND(J659*K659,2)</f>
        <v>0</v>
      </c>
      <c r="Y659" s="58" t="s">
        <v>2189</v>
      </c>
    </row>
    <row r="660" spans="1:26" hidden="1" x14ac:dyDescent="0.2">
      <c r="A660" s="6"/>
      <c r="B660" s="6"/>
      <c r="C660" s="45" t="s">
        <v>1447</v>
      </c>
      <c r="D660" s="45"/>
      <c r="E660" s="45"/>
      <c r="F660" s="45"/>
      <c r="G660" s="45"/>
      <c r="H660" s="45"/>
      <c r="I660" s="45"/>
      <c r="J660" s="45"/>
      <c r="K660" s="45"/>
      <c r="L660" s="45"/>
      <c r="Y660" s="58" t="s">
        <v>2189</v>
      </c>
    </row>
    <row r="661" spans="1:26" hidden="1" x14ac:dyDescent="0.2">
      <c r="A661" s="3" t="s">
        <v>1448</v>
      </c>
      <c r="B661" s="2" t="s">
        <v>1449</v>
      </c>
      <c r="C661" s="45" t="s">
        <v>1450</v>
      </c>
      <c r="D661" s="45"/>
      <c r="E661" s="45"/>
      <c r="F661" s="45"/>
      <c r="G661" s="45"/>
      <c r="H661" s="45"/>
      <c r="I661" s="45"/>
      <c r="J661" s="4">
        <f>ROUND(3,2)</f>
        <v>3</v>
      </c>
      <c r="K661" s="5">
        <f>ROUND(0*(1+L2/100),2)</f>
        <v>0</v>
      </c>
      <c r="L661" s="5">
        <f>ROUND(J661*K661,2)</f>
        <v>0</v>
      </c>
      <c r="Y661" s="58" t="s">
        <v>2189</v>
      </c>
    </row>
    <row r="662" spans="1:26" hidden="1" x14ac:dyDescent="0.2">
      <c r="A662" s="6"/>
      <c r="B662" s="6"/>
      <c r="C662" s="45" t="s">
        <v>1451</v>
      </c>
      <c r="D662" s="45"/>
      <c r="E662" s="45"/>
      <c r="F662" s="45"/>
      <c r="G662" s="45"/>
      <c r="H662" s="45"/>
      <c r="I662" s="45"/>
      <c r="J662" s="45"/>
      <c r="K662" s="45"/>
      <c r="L662" s="45"/>
      <c r="Y662" s="58" t="s">
        <v>2189</v>
      </c>
    </row>
    <row r="663" spans="1:26" hidden="1" x14ac:dyDescent="0.2">
      <c r="A663" s="3" t="s">
        <v>1452</v>
      </c>
      <c r="B663" s="2" t="s">
        <v>1453</v>
      </c>
      <c r="C663" s="45" t="s">
        <v>1454</v>
      </c>
      <c r="D663" s="45"/>
      <c r="E663" s="45"/>
      <c r="F663" s="45"/>
      <c r="G663" s="45"/>
      <c r="H663" s="45"/>
      <c r="I663" s="45"/>
      <c r="J663" s="4">
        <f>SUM(J666:J666)</f>
        <v>2.65</v>
      </c>
      <c r="K663" s="5">
        <f>ROUND(0*(1+L2/100),2)</f>
        <v>0</v>
      </c>
      <c r="L663" s="5">
        <f>ROUND(J663*K663,2)</f>
        <v>0</v>
      </c>
      <c r="Y663" s="58" t="s">
        <v>2189</v>
      </c>
    </row>
    <row r="664" spans="1:26" ht="40.5" hidden="1" customHeight="1" x14ac:dyDescent="0.2">
      <c r="A664" s="6"/>
      <c r="B664" s="6"/>
      <c r="C664" s="45" t="s">
        <v>1455</v>
      </c>
      <c r="D664" s="45"/>
      <c r="E664" s="45"/>
      <c r="F664" s="45"/>
      <c r="G664" s="45"/>
      <c r="H664" s="45"/>
      <c r="I664" s="45"/>
      <c r="J664" s="45"/>
      <c r="K664" s="45"/>
      <c r="L664" s="45"/>
      <c r="Y664" s="58" t="s">
        <v>2189</v>
      </c>
    </row>
    <row r="665" spans="1:26" ht="15.2" hidden="1" customHeight="1" x14ac:dyDescent="0.2">
      <c r="A665" s="6"/>
      <c r="B665" s="6"/>
      <c r="C665" s="6"/>
      <c r="D665" s="7"/>
      <c r="E665" s="9" t="s">
        <v>1456</v>
      </c>
      <c r="F665" s="9" t="s">
        <v>1457</v>
      </c>
      <c r="G665" s="9" t="s">
        <v>1458</v>
      </c>
      <c r="H665" s="9" t="s">
        <v>1459</v>
      </c>
      <c r="I665" s="9" t="s">
        <v>1460</v>
      </c>
      <c r="J665" s="9" t="s">
        <v>1461</v>
      </c>
      <c r="K665" s="6"/>
      <c r="L665" s="6"/>
      <c r="Y665" s="58" t="s">
        <v>2189</v>
      </c>
    </row>
    <row r="666" spans="1:26" ht="15.2" hidden="1" customHeight="1" x14ac:dyDescent="0.2">
      <c r="A666" s="6"/>
      <c r="B666" s="6"/>
      <c r="C666" s="10"/>
      <c r="D666" s="11" t="s">
        <v>1462</v>
      </c>
      <c r="E666" s="12">
        <v>1</v>
      </c>
      <c r="F666" s="13">
        <v>2.65</v>
      </c>
      <c r="G666" s="13"/>
      <c r="H666" s="13"/>
      <c r="I666" s="15">
        <f>ROUND(E666*F666,3)</f>
        <v>2.65</v>
      </c>
      <c r="J666" s="17">
        <f>SUM(I666:I666)</f>
        <v>2.65</v>
      </c>
      <c r="K666" s="6"/>
      <c r="L666" s="6"/>
      <c r="Y666" s="58" t="s">
        <v>2189</v>
      </c>
    </row>
    <row r="667" spans="1:26" ht="15.4" hidden="1" customHeight="1" x14ac:dyDescent="0.2">
      <c r="A667" s="3" t="s">
        <v>1463</v>
      </c>
      <c r="B667" s="2" t="s">
        <v>1464</v>
      </c>
      <c r="C667" s="45" t="s">
        <v>1465</v>
      </c>
      <c r="D667" s="45"/>
      <c r="E667" s="45"/>
      <c r="F667" s="45"/>
      <c r="G667" s="45"/>
      <c r="H667" s="45"/>
      <c r="I667" s="45"/>
      <c r="J667" s="4">
        <f>ROUND(14,2)</f>
        <v>14</v>
      </c>
      <c r="K667" s="5">
        <f>ROUND(0*(1+L2/100),2)</f>
        <v>0</v>
      </c>
      <c r="L667" s="5">
        <f>ROUND(J667*K667,2)</f>
        <v>0</v>
      </c>
      <c r="Y667" s="58" t="s">
        <v>2189</v>
      </c>
    </row>
    <row r="668" spans="1:26" ht="32.25" hidden="1" customHeight="1" x14ac:dyDescent="0.2">
      <c r="A668" s="6"/>
      <c r="B668" s="6"/>
      <c r="C668" s="45" t="s">
        <v>1466</v>
      </c>
      <c r="D668" s="45"/>
      <c r="E668" s="45"/>
      <c r="F668" s="45"/>
      <c r="G668" s="45"/>
      <c r="H668" s="45"/>
      <c r="I668" s="45"/>
      <c r="J668" s="45"/>
      <c r="K668" s="45"/>
      <c r="L668" s="45"/>
      <c r="Y668" s="58" t="s">
        <v>2189</v>
      </c>
    </row>
    <row r="669" spans="1:26" hidden="1" x14ac:dyDescent="0.2">
      <c r="A669" s="3" t="s">
        <v>1467</v>
      </c>
      <c r="B669" s="2" t="s">
        <v>1468</v>
      </c>
      <c r="C669" s="45" t="s">
        <v>1469</v>
      </c>
      <c r="D669" s="45"/>
      <c r="E669" s="45"/>
      <c r="F669" s="45"/>
      <c r="G669" s="45"/>
      <c r="H669" s="45"/>
      <c r="I669" s="45"/>
      <c r="J669" s="4">
        <f>ROUND(0,2)</f>
        <v>0</v>
      </c>
      <c r="K669" s="5">
        <f>ROUND(0*(1+L2/100),2)</f>
        <v>0</v>
      </c>
      <c r="L669" s="5">
        <f>ROUND(J669*K669,2)</f>
        <v>0</v>
      </c>
      <c r="Y669" s="58" t="s">
        <v>2189</v>
      </c>
    </row>
    <row r="670" spans="1:26" ht="32.25" hidden="1" customHeight="1" x14ac:dyDescent="0.2">
      <c r="A670" s="6"/>
      <c r="B670" s="6"/>
      <c r="C670" s="45" t="s">
        <v>1470</v>
      </c>
      <c r="D670" s="45"/>
      <c r="E670" s="45"/>
      <c r="F670" s="45"/>
      <c r="G670" s="45"/>
      <c r="H670" s="45"/>
      <c r="I670" s="45"/>
      <c r="J670" s="45"/>
      <c r="K670" s="45"/>
      <c r="L670" s="45"/>
      <c r="Y670" s="58" t="s">
        <v>2189</v>
      </c>
    </row>
    <row r="671" spans="1:26" hidden="1" x14ac:dyDescent="0.2">
      <c r="A671" s="37" t="s">
        <v>1471</v>
      </c>
      <c r="B671" s="34"/>
      <c r="C671" s="46" t="s">
        <v>1472</v>
      </c>
      <c r="D671" s="46"/>
      <c r="E671" s="46"/>
      <c r="F671" s="46"/>
      <c r="G671" s="46"/>
      <c r="H671" s="46"/>
      <c r="I671" s="46"/>
      <c r="J671" s="34"/>
      <c r="K671" s="35">
        <v>0</v>
      </c>
      <c r="L671" s="35">
        <f>ROUND(K671,2)</f>
        <v>0</v>
      </c>
      <c r="Z671" s="58" t="s">
        <v>2190</v>
      </c>
    </row>
    <row r="672" spans="1:26" hidden="1" x14ac:dyDescent="0.2">
      <c r="A672" s="3" t="s">
        <v>1473</v>
      </c>
      <c r="B672" s="2" t="s">
        <v>1474</v>
      </c>
      <c r="C672" s="45" t="s">
        <v>1475</v>
      </c>
      <c r="D672" s="45"/>
      <c r="E672" s="45"/>
      <c r="F672" s="45"/>
      <c r="G672" s="45"/>
      <c r="H672" s="45"/>
      <c r="I672" s="45"/>
      <c r="J672" s="4">
        <f>SUM(J675:J675)</f>
        <v>3</v>
      </c>
      <c r="K672" s="5">
        <f>ROUND(0*(1+L2/100),2)</f>
        <v>0</v>
      </c>
      <c r="L672" s="5">
        <f>ROUND(J672*K672,2)</f>
        <v>0</v>
      </c>
      <c r="Z672" s="58" t="s">
        <v>2190</v>
      </c>
    </row>
    <row r="673" spans="1:28" hidden="1" x14ac:dyDescent="0.2">
      <c r="A673" s="6"/>
      <c r="B673" s="6"/>
      <c r="C673" s="45" t="s">
        <v>1476</v>
      </c>
      <c r="D673" s="45"/>
      <c r="E673" s="45"/>
      <c r="F673" s="45"/>
      <c r="G673" s="45"/>
      <c r="H673" s="45"/>
      <c r="I673" s="45"/>
      <c r="J673" s="45"/>
      <c r="K673" s="45"/>
      <c r="L673" s="45"/>
      <c r="Z673" s="58" t="s">
        <v>2190</v>
      </c>
    </row>
    <row r="674" spans="1:28" ht="15.2" hidden="1" customHeight="1" x14ac:dyDescent="0.2">
      <c r="A674" s="6"/>
      <c r="B674" s="6"/>
      <c r="C674" s="6"/>
      <c r="D674" s="7"/>
      <c r="E674" s="9" t="s">
        <v>1477</v>
      </c>
      <c r="F674" s="9" t="s">
        <v>1478</v>
      </c>
      <c r="G674" s="9" t="s">
        <v>1479</v>
      </c>
      <c r="H674" s="9" t="s">
        <v>1480</v>
      </c>
      <c r="I674" s="9" t="s">
        <v>1481</v>
      </c>
      <c r="J674" s="9" t="s">
        <v>1482</v>
      </c>
      <c r="K674" s="6"/>
      <c r="L674" s="6"/>
      <c r="Z674" s="58" t="s">
        <v>2190</v>
      </c>
    </row>
    <row r="675" spans="1:28" ht="22.5" hidden="1" x14ac:dyDescent="0.2">
      <c r="A675" s="6"/>
      <c r="B675" s="6"/>
      <c r="C675" s="10"/>
      <c r="D675" s="11" t="s">
        <v>1483</v>
      </c>
      <c r="E675" s="12">
        <v>1</v>
      </c>
      <c r="F675" s="13">
        <v>3</v>
      </c>
      <c r="G675" s="13"/>
      <c r="H675" s="13"/>
      <c r="I675" s="15">
        <f>ROUND(E675*F675,3)</f>
        <v>3</v>
      </c>
      <c r="J675" s="17">
        <f>SUM(I675:I675)</f>
        <v>3</v>
      </c>
      <c r="K675" s="6"/>
      <c r="L675" s="6"/>
      <c r="Z675" s="58" t="s">
        <v>2190</v>
      </c>
    </row>
    <row r="676" spans="1:28" ht="15.4" hidden="1" customHeight="1" x14ac:dyDescent="0.2">
      <c r="A676" s="3" t="s">
        <v>1484</v>
      </c>
      <c r="B676" s="2" t="s">
        <v>1485</v>
      </c>
      <c r="C676" s="45" t="s">
        <v>1486</v>
      </c>
      <c r="D676" s="45"/>
      <c r="E676" s="45"/>
      <c r="F676" s="45"/>
      <c r="G676" s="45"/>
      <c r="H676" s="45"/>
      <c r="I676" s="45"/>
      <c r="J676" s="4">
        <f>SUM(J679:J679)</f>
        <v>13.2</v>
      </c>
      <c r="K676" s="5">
        <f>ROUND(0*(1+L2/100),2)</f>
        <v>0</v>
      </c>
      <c r="L676" s="5">
        <f>ROUND(J676*K676,2)</f>
        <v>0</v>
      </c>
      <c r="Z676" s="58" t="s">
        <v>2190</v>
      </c>
    </row>
    <row r="677" spans="1:28" ht="67.5" hidden="1" customHeight="1" x14ac:dyDescent="0.2">
      <c r="A677" s="6"/>
      <c r="B677" s="6"/>
      <c r="C677" s="45" t="s">
        <v>1487</v>
      </c>
      <c r="D677" s="45"/>
      <c r="E677" s="45"/>
      <c r="F677" s="45"/>
      <c r="G677" s="45"/>
      <c r="H677" s="45"/>
      <c r="I677" s="45"/>
      <c r="J677" s="45"/>
      <c r="K677" s="45"/>
      <c r="L677" s="45"/>
      <c r="Z677" s="58" t="s">
        <v>2190</v>
      </c>
    </row>
    <row r="678" spans="1:28" ht="15.2" hidden="1" customHeight="1" x14ac:dyDescent="0.2">
      <c r="A678" s="6"/>
      <c r="B678" s="6"/>
      <c r="C678" s="6"/>
      <c r="D678" s="7"/>
      <c r="E678" s="9" t="s">
        <v>1488</v>
      </c>
      <c r="F678" s="9" t="s">
        <v>1489</v>
      </c>
      <c r="G678" s="9" t="s">
        <v>1490</v>
      </c>
      <c r="H678" s="9" t="s">
        <v>1491</v>
      </c>
      <c r="I678" s="9" t="s">
        <v>1492</v>
      </c>
      <c r="J678" s="9" t="s">
        <v>1493</v>
      </c>
      <c r="K678" s="6"/>
      <c r="L678" s="6"/>
      <c r="Z678" s="58" t="s">
        <v>2190</v>
      </c>
    </row>
    <row r="679" spans="1:28" ht="33.75" hidden="1" x14ac:dyDescent="0.2">
      <c r="A679" s="6"/>
      <c r="B679" s="6"/>
      <c r="C679" s="10"/>
      <c r="D679" s="11" t="s">
        <v>1494</v>
      </c>
      <c r="E679" s="12">
        <v>2</v>
      </c>
      <c r="F679" s="13">
        <v>6.6</v>
      </c>
      <c r="G679" s="13"/>
      <c r="H679" s="13"/>
      <c r="I679" s="15">
        <f>ROUND(E679*F679,3)</f>
        <v>13.2</v>
      </c>
      <c r="J679" s="17">
        <f>SUM(I679:I679)</f>
        <v>13.2</v>
      </c>
      <c r="K679" s="6"/>
      <c r="L679" s="6"/>
      <c r="Z679" s="58" t="s">
        <v>2190</v>
      </c>
    </row>
    <row r="680" spans="1:28" hidden="1" x14ac:dyDescent="0.2">
      <c r="A680" s="3" t="s">
        <v>1495</v>
      </c>
      <c r="B680" s="2" t="s">
        <v>1496</v>
      </c>
      <c r="C680" s="45" t="s">
        <v>1497</v>
      </c>
      <c r="D680" s="45"/>
      <c r="E680" s="45"/>
      <c r="F680" s="45"/>
      <c r="G680" s="45"/>
      <c r="H680" s="45"/>
      <c r="I680" s="45"/>
      <c r="J680" s="4">
        <f>ROUND(1,2)</f>
        <v>1</v>
      </c>
      <c r="K680" s="5">
        <f>ROUND(0*(1+L2/100),2)</f>
        <v>0</v>
      </c>
      <c r="L680" s="5">
        <f>ROUND(J680*K680,2)</f>
        <v>0</v>
      </c>
      <c r="Z680" s="58" t="s">
        <v>2190</v>
      </c>
    </row>
    <row r="681" spans="1:28" ht="137.25" hidden="1" customHeight="1" x14ac:dyDescent="0.2">
      <c r="A681" s="6"/>
      <c r="B681" s="6"/>
      <c r="C681" s="45" t="s">
        <v>1498</v>
      </c>
      <c r="D681" s="45"/>
      <c r="E681" s="45"/>
      <c r="F681" s="45"/>
      <c r="G681" s="45"/>
      <c r="H681" s="45"/>
      <c r="I681" s="45"/>
      <c r="J681" s="45"/>
      <c r="K681" s="45"/>
      <c r="L681" s="45"/>
      <c r="Z681" s="58" t="s">
        <v>2190</v>
      </c>
    </row>
    <row r="682" spans="1:28" hidden="1" x14ac:dyDescent="0.2">
      <c r="A682" s="3" t="s">
        <v>1499</v>
      </c>
      <c r="B682" s="2" t="s">
        <v>1500</v>
      </c>
      <c r="C682" s="45" t="s">
        <v>1501</v>
      </c>
      <c r="D682" s="45"/>
      <c r="E682" s="45"/>
      <c r="F682" s="45"/>
      <c r="G682" s="45"/>
      <c r="H682" s="45"/>
      <c r="I682" s="45"/>
      <c r="J682" s="4">
        <f>ROUND(1,2)</f>
        <v>1</v>
      </c>
      <c r="K682" s="5">
        <f>ROUND(0*(1+L2/100),2)</f>
        <v>0</v>
      </c>
      <c r="L682" s="5">
        <f>ROUND(J682*K682,2)</f>
        <v>0</v>
      </c>
      <c r="Z682" s="58" t="s">
        <v>2190</v>
      </c>
    </row>
    <row r="683" spans="1:28" ht="85.5" hidden="1" customHeight="1" x14ac:dyDescent="0.2">
      <c r="A683" s="6"/>
      <c r="B683" s="6"/>
      <c r="C683" s="45" t="s">
        <v>1502</v>
      </c>
      <c r="D683" s="45"/>
      <c r="E683" s="45"/>
      <c r="F683" s="45"/>
      <c r="G683" s="45"/>
      <c r="H683" s="45"/>
      <c r="I683" s="45"/>
      <c r="J683" s="45"/>
      <c r="K683" s="45"/>
      <c r="L683" s="45"/>
      <c r="Z683" s="58" t="s">
        <v>2190</v>
      </c>
    </row>
    <row r="684" spans="1:28" ht="15.4" hidden="1" customHeight="1" x14ac:dyDescent="0.2">
      <c r="A684" s="37" t="s">
        <v>1503</v>
      </c>
      <c r="B684" s="34"/>
      <c r="C684" s="46" t="s">
        <v>1504</v>
      </c>
      <c r="D684" s="46"/>
      <c r="E684" s="46"/>
      <c r="F684" s="46"/>
      <c r="G684" s="46"/>
      <c r="H684" s="46"/>
      <c r="I684" s="46"/>
      <c r="J684" s="34"/>
      <c r="K684" s="35">
        <v>0</v>
      </c>
      <c r="L684" s="35">
        <f>ROUND(K684,2)</f>
        <v>0</v>
      </c>
      <c r="AB684" s="58" t="s">
        <v>2192</v>
      </c>
    </row>
    <row r="685" spans="1:28" ht="15.4" hidden="1" customHeight="1" x14ac:dyDescent="0.2">
      <c r="A685" s="3" t="s">
        <v>1505</v>
      </c>
      <c r="B685" s="2" t="s">
        <v>1506</v>
      </c>
      <c r="C685" s="45" t="s">
        <v>1507</v>
      </c>
      <c r="D685" s="45"/>
      <c r="E685" s="45"/>
      <c r="F685" s="45"/>
      <c r="G685" s="45"/>
      <c r="H685" s="45"/>
      <c r="I685" s="45"/>
      <c r="J685" s="4">
        <f>SUM(J688:J690)</f>
        <v>47.800000000000004</v>
      </c>
      <c r="K685" s="5">
        <f>ROUND(0*(1+L2/100),2)</f>
        <v>0</v>
      </c>
      <c r="L685" s="5">
        <f>ROUND(J685*K685,2)</f>
        <v>0</v>
      </c>
      <c r="AB685" s="58" t="s">
        <v>2192</v>
      </c>
    </row>
    <row r="686" spans="1:28" ht="33" hidden="1" customHeight="1" x14ac:dyDescent="0.2">
      <c r="A686" s="6"/>
      <c r="B686" s="6"/>
      <c r="C686" s="45" t="s">
        <v>2177</v>
      </c>
      <c r="D686" s="45"/>
      <c r="E686" s="45"/>
      <c r="F686" s="45"/>
      <c r="G686" s="45"/>
      <c r="H686" s="45"/>
      <c r="I686" s="45"/>
      <c r="J686" s="45"/>
      <c r="K686" s="45"/>
      <c r="L686" s="45"/>
      <c r="AB686" s="58" t="s">
        <v>2192</v>
      </c>
    </row>
    <row r="687" spans="1:28" hidden="1" x14ac:dyDescent="0.2">
      <c r="A687" s="6"/>
      <c r="B687" s="6"/>
      <c r="C687" s="6"/>
      <c r="D687" s="7"/>
      <c r="E687" s="9" t="s">
        <v>1508</v>
      </c>
      <c r="F687" s="9" t="s">
        <v>1509</v>
      </c>
      <c r="G687" s="9" t="s">
        <v>1510</v>
      </c>
      <c r="H687" s="9" t="s">
        <v>1511</v>
      </c>
      <c r="I687" s="9" t="s">
        <v>1512</v>
      </c>
      <c r="J687" s="9" t="s">
        <v>1513</v>
      </c>
      <c r="K687" s="6"/>
      <c r="L687" s="6"/>
      <c r="AB687" s="58" t="s">
        <v>2192</v>
      </c>
    </row>
    <row r="688" spans="1:28" hidden="1" x14ac:dyDescent="0.2">
      <c r="A688" s="6"/>
      <c r="B688" s="6"/>
      <c r="C688" s="10"/>
      <c r="D688" s="11" t="s">
        <v>1514</v>
      </c>
      <c r="E688" s="12">
        <v>1</v>
      </c>
      <c r="F688" s="13">
        <v>40.200000000000003</v>
      </c>
      <c r="G688" s="13"/>
      <c r="H688" s="13"/>
      <c r="I688" s="15">
        <f>ROUND(E688*F688,3)</f>
        <v>40.200000000000003</v>
      </c>
      <c r="J688" s="18"/>
      <c r="K688" s="6"/>
      <c r="L688" s="6"/>
      <c r="AB688" s="58" t="s">
        <v>2192</v>
      </c>
    </row>
    <row r="689" spans="1:29" ht="22.5" hidden="1" x14ac:dyDescent="0.2">
      <c r="A689" s="6"/>
      <c r="B689" s="6"/>
      <c r="C689" s="10"/>
      <c r="D689" s="2" t="s">
        <v>1515</v>
      </c>
      <c r="E689" s="1">
        <v>1</v>
      </c>
      <c r="F689" s="5">
        <v>3.6</v>
      </c>
      <c r="G689" s="5"/>
      <c r="H689" s="5"/>
      <c r="I689" s="14">
        <f>ROUND(E689*F689,3)</f>
        <v>3.6</v>
      </c>
      <c r="J689" s="6"/>
      <c r="K689" s="6"/>
      <c r="L689" s="6"/>
      <c r="AB689" s="58" t="s">
        <v>2192</v>
      </c>
    </row>
    <row r="690" spans="1:29" ht="22.5" hidden="1" x14ac:dyDescent="0.2">
      <c r="A690" s="6"/>
      <c r="B690" s="6"/>
      <c r="C690" s="10"/>
      <c r="D690" s="2" t="s">
        <v>1516</v>
      </c>
      <c r="E690" s="1">
        <v>1</v>
      </c>
      <c r="F690" s="5">
        <v>4</v>
      </c>
      <c r="G690" s="5"/>
      <c r="H690" s="5"/>
      <c r="I690" s="14">
        <f>ROUND(E690*F690,3)</f>
        <v>4</v>
      </c>
      <c r="J690" s="16">
        <f>SUM(I688:I690)</f>
        <v>47.800000000000004</v>
      </c>
      <c r="K690" s="6"/>
      <c r="L690" s="6"/>
      <c r="AB690" s="58" t="s">
        <v>2192</v>
      </c>
    </row>
    <row r="691" spans="1:29" ht="15.4" hidden="1" customHeight="1" x14ac:dyDescent="0.2">
      <c r="A691" s="3" t="s">
        <v>1517</v>
      </c>
      <c r="B691" s="2" t="s">
        <v>1518</v>
      </c>
      <c r="C691" s="45" t="s">
        <v>1519</v>
      </c>
      <c r="D691" s="45"/>
      <c r="E691" s="45"/>
      <c r="F691" s="45"/>
      <c r="G691" s="45"/>
      <c r="H691" s="45"/>
      <c r="I691" s="45"/>
      <c r="J691" s="4">
        <f>SUM(J694:J694)</f>
        <v>30</v>
      </c>
      <c r="K691" s="5">
        <f>ROUND(0*(1+L2/100),2)</f>
        <v>0</v>
      </c>
      <c r="L691" s="5">
        <f>ROUND(J691*K691,2)</f>
        <v>0</v>
      </c>
      <c r="AB691" s="58" t="s">
        <v>2192</v>
      </c>
    </row>
    <row r="692" spans="1:29" ht="117" hidden="1" customHeight="1" x14ac:dyDescent="0.2">
      <c r="A692" s="6"/>
      <c r="B692" s="6"/>
      <c r="C692" s="45" t="s">
        <v>1520</v>
      </c>
      <c r="D692" s="45"/>
      <c r="E692" s="45"/>
      <c r="F692" s="45"/>
      <c r="G692" s="45"/>
      <c r="H692" s="45"/>
      <c r="I692" s="45"/>
      <c r="J692" s="45"/>
      <c r="K692" s="45"/>
      <c r="L692" s="45"/>
      <c r="AB692" s="58" t="s">
        <v>2192</v>
      </c>
    </row>
    <row r="693" spans="1:29" ht="15.2" hidden="1" customHeight="1" x14ac:dyDescent="0.2">
      <c r="A693" s="6"/>
      <c r="B693" s="6"/>
      <c r="C693" s="6"/>
      <c r="D693" s="7"/>
      <c r="E693" s="9" t="s">
        <v>1521</v>
      </c>
      <c r="F693" s="9" t="s">
        <v>1522</v>
      </c>
      <c r="G693" s="9" t="s">
        <v>1523</v>
      </c>
      <c r="H693" s="9" t="s">
        <v>1524</v>
      </c>
      <c r="I693" s="9" t="s">
        <v>1525</v>
      </c>
      <c r="J693" s="9" t="s">
        <v>1526</v>
      </c>
      <c r="K693" s="6"/>
      <c r="L693" s="6"/>
      <c r="AB693" s="58" t="s">
        <v>2192</v>
      </c>
    </row>
    <row r="694" spans="1:29" ht="22.5" hidden="1" x14ac:dyDescent="0.2">
      <c r="A694" s="6"/>
      <c r="B694" s="6"/>
      <c r="C694" s="10"/>
      <c r="D694" s="11" t="s">
        <v>1527</v>
      </c>
      <c r="E694" s="12">
        <v>30</v>
      </c>
      <c r="F694" s="13"/>
      <c r="G694" s="13"/>
      <c r="H694" s="13"/>
      <c r="I694" s="15">
        <f>ROUND(E694,3)</f>
        <v>30</v>
      </c>
      <c r="J694" s="17">
        <f>SUM(I694:I694)</f>
        <v>30</v>
      </c>
      <c r="K694" s="6"/>
      <c r="L694" s="6"/>
      <c r="AB694" s="58" t="s">
        <v>2192</v>
      </c>
    </row>
    <row r="695" spans="1:29" ht="15.4" hidden="1" customHeight="1" x14ac:dyDescent="0.2">
      <c r="A695" s="31" t="s">
        <v>1528</v>
      </c>
      <c r="B695" s="28"/>
      <c r="C695" s="44" t="s">
        <v>1529</v>
      </c>
      <c r="D695" s="44"/>
      <c r="E695" s="44"/>
      <c r="F695" s="44"/>
      <c r="G695" s="44"/>
      <c r="H695" s="44"/>
      <c r="I695" s="44"/>
      <c r="J695" s="28"/>
      <c r="K695" s="29">
        <v>0</v>
      </c>
      <c r="L695" s="29">
        <f>ROUND(K695,2)</f>
        <v>0</v>
      </c>
      <c r="AC695" s="58" t="s">
        <v>2193</v>
      </c>
    </row>
    <row r="696" spans="1:29" ht="15.4" hidden="1" customHeight="1" x14ac:dyDescent="0.2">
      <c r="A696" s="36" t="s">
        <v>1530</v>
      </c>
      <c r="B696" s="32"/>
      <c r="C696" s="47" t="s">
        <v>1531</v>
      </c>
      <c r="D696" s="47"/>
      <c r="E696" s="47"/>
      <c r="F696" s="47"/>
      <c r="G696" s="47"/>
      <c r="H696" s="47"/>
      <c r="I696" s="47"/>
      <c r="J696" s="32"/>
      <c r="K696" s="33">
        <v>0</v>
      </c>
      <c r="L696" s="33">
        <f>ROUND(K696,2)</f>
        <v>0</v>
      </c>
      <c r="AC696" s="58" t="s">
        <v>2193</v>
      </c>
    </row>
    <row r="697" spans="1:29" ht="15.4" hidden="1" customHeight="1" x14ac:dyDescent="0.2">
      <c r="A697" s="3" t="s">
        <v>1532</v>
      </c>
      <c r="B697" s="2" t="s">
        <v>1533</v>
      </c>
      <c r="C697" s="45" t="s">
        <v>1534</v>
      </c>
      <c r="D697" s="45"/>
      <c r="E697" s="45"/>
      <c r="F697" s="45"/>
      <c r="G697" s="45"/>
      <c r="H697" s="45"/>
      <c r="I697" s="45"/>
      <c r="J697" s="4">
        <f>SUM(J700:J700)</f>
        <v>97</v>
      </c>
      <c r="K697" s="5">
        <f>ROUND(0*(1+L2/100),2)</f>
        <v>0</v>
      </c>
      <c r="L697" s="5">
        <f>ROUND(J697*K697,2)</f>
        <v>0</v>
      </c>
      <c r="AC697" s="58" t="s">
        <v>2193</v>
      </c>
    </row>
    <row r="698" spans="1:29" ht="167.25" hidden="1" customHeight="1" x14ac:dyDescent="0.2">
      <c r="A698" s="6"/>
      <c r="B698" s="6"/>
      <c r="C698" s="45" t="s">
        <v>1535</v>
      </c>
      <c r="D698" s="45"/>
      <c r="E698" s="45"/>
      <c r="F698" s="45"/>
      <c r="G698" s="45"/>
      <c r="H698" s="45"/>
      <c r="I698" s="45"/>
      <c r="J698" s="45"/>
      <c r="K698" s="45"/>
      <c r="L698" s="45"/>
      <c r="AC698" s="58" t="s">
        <v>2193</v>
      </c>
    </row>
    <row r="699" spans="1:29" ht="15.2" hidden="1" customHeight="1" x14ac:dyDescent="0.2">
      <c r="A699" s="6"/>
      <c r="B699" s="6"/>
      <c r="C699" s="6"/>
      <c r="D699" s="7"/>
      <c r="E699" s="9" t="s">
        <v>1536</v>
      </c>
      <c r="F699" s="9" t="s">
        <v>1537</v>
      </c>
      <c r="G699" s="9" t="s">
        <v>1538</v>
      </c>
      <c r="H699" s="9" t="s">
        <v>1539</v>
      </c>
      <c r="I699" s="9" t="s">
        <v>1540</v>
      </c>
      <c r="J699" s="9" t="s">
        <v>1541</v>
      </c>
      <c r="K699" s="6"/>
      <c r="L699" s="6"/>
      <c r="AC699" s="58" t="s">
        <v>2193</v>
      </c>
    </row>
    <row r="700" spans="1:29" ht="22.5" hidden="1" x14ac:dyDescent="0.2">
      <c r="A700" s="6"/>
      <c r="B700" s="6"/>
      <c r="C700" s="10"/>
      <c r="D700" s="11" t="s">
        <v>1542</v>
      </c>
      <c r="E700" s="12">
        <v>1</v>
      </c>
      <c r="F700" s="13">
        <v>97</v>
      </c>
      <c r="G700" s="13"/>
      <c r="H700" s="13"/>
      <c r="I700" s="15">
        <f>ROUND(E700*F700,3)</f>
        <v>97</v>
      </c>
      <c r="J700" s="17">
        <f>SUM(I700:I700)</f>
        <v>97</v>
      </c>
      <c r="K700" s="6"/>
      <c r="L700" s="6"/>
      <c r="AC700" s="58" t="s">
        <v>2193</v>
      </c>
    </row>
    <row r="701" spans="1:29" ht="15.4" hidden="1" customHeight="1" x14ac:dyDescent="0.2">
      <c r="A701" s="37" t="s">
        <v>1543</v>
      </c>
      <c r="B701" s="34"/>
      <c r="C701" s="46" t="s">
        <v>1544</v>
      </c>
      <c r="D701" s="46"/>
      <c r="E701" s="46"/>
      <c r="F701" s="46"/>
      <c r="G701" s="46"/>
      <c r="H701" s="46"/>
      <c r="I701" s="46"/>
      <c r="J701" s="34"/>
      <c r="K701" s="35">
        <v>0</v>
      </c>
      <c r="L701" s="35">
        <f>ROUND(K701,2)</f>
        <v>0</v>
      </c>
      <c r="AC701" s="58" t="s">
        <v>2193</v>
      </c>
    </row>
    <row r="702" spans="1:29" ht="15.4" hidden="1" customHeight="1" x14ac:dyDescent="0.2">
      <c r="A702" s="3" t="s">
        <v>1545</v>
      </c>
      <c r="B702" s="2" t="s">
        <v>1546</v>
      </c>
      <c r="C702" s="45" t="s">
        <v>1547</v>
      </c>
      <c r="D702" s="45"/>
      <c r="E702" s="45"/>
      <c r="F702" s="45"/>
      <c r="G702" s="45"/>
      <c r="H702" s="45"/>
      <c r="I702" s="45"/>
      <c r="J702" s="4">
        <f>SUM(J705:J705)</f>
        <v>18</v>
      </c>
      <c r="K702" s="5">
        <f>ROUND(0*(1+L2/100),2)</f>
        <v>0</v>
      </c>
      <c r="L702" s="5">
        <f>ROUND(J702*K702,2)</f>
        <v>0</v>
      </c>
      <c r="AC702" s="58" t="s">
        <v>2193</v>
      </c>
    </row>
    <row r="703" spans="1:29" ht="53.25" hidden="1" customHeight="1" x14ac:dyDescent="0.2">
      <c r="A703" s="6"/>
      <c r="B703" s="6"/>
      <c r="C703" s="45" t="s">
        <v>1548</v>
      </c>
      <c r="D703" s="45"/>
      <c r="E703" s="45"/>
      <c r="F703" s="45"/>
      <c r="G703" s="45"/>
      <c r="H703" s="45"/>
      <c r="I703" s="45"/>
      <c r="J703" s="45"/>
      <c r="K703" s="45"/>
      <c r="L703" s="45"/>
      <c r="AC703" s="58" t="s">
        <v>2193</v>
      </c>
    </row>
    <row r="704" spans="1:29" ht="15.2" hidden="1" customHeight="1" x14ac:dyDescent="0.2">
      <c r="A704" s="6"/>
      <c r="B704" s="6"/>
      <c r="C704" s="6"/>
      <c r="D704" s="7"/>
      <c r="E704" s="9" t="s">
        <v>1549</v>
      </c>
      <c r="F704" s="9" t="s">
        <v>1550</v>
      </c>
      <c r="G704" s="9" t="s">
        <v>1551</v>
      </c>
      <c r="H704" s="9" t="s">
        <v>1552</v>
      </c>
      <c r="I704" s="9" t="s">
        <v>1553</v>
      </c>
      <c r="J704" s="9" t="s">
        <v>1554</v>
      </c>
      <c r="K704" s="6"/>
      <c r="L704" s="6"/>
      <c r="AC704" s="58" t="s">
        <v>2193</v>
      </c>
    </row>
    <row r="705" spans="1:29" ht="15.2" hidden="1" customHeight="1" x14ac:dyDescent="0.2">
      <c r="A705" s="6"/>
      <c r="B705" s="6"/>
      <c r="C705" s="10"/>
      <c r="D705" s="11" t="s">
        <v>1555</v>
      </c>
      <c r="E705" s="12">
        <v>18</v>
      </c>
      <c r="F705" s="13"/>
      <c r="G705" s="13"/>
      <c r="H705" s="13"/>
      <c r="I705" s="15">
        <f>ROUND(E705,3)</f>
        <v>18</v>
      </c>
      <c r="J705" s="17">
        <f>SUM(I705:I705)</f>
        <v>18</v>
      </c>
      <c r="K705" s="6"/>
      <c r="L705" s="6"/>
      <c r="AC705" s="58" t="s">
        <v>2193</v>
      </c>
    </row>
    <row r="706" spans="1:29" ht="15.4" hidden="1" customHeight="1" x14ac:dyDescent="0.2">
      <c r="A706" s="3" t="s">
        <v>1556</v>
      </c>
      <c r="B706" s="2" t="s">
        <v>1557</v>
      </c>
      <c r="C706" s="45" t="s">
        <v>1558</v>
      </c>
      <c r="D706" s="45"/>
      <c r="E706" s="45"/>
      <c r="F706" s="45"/>
      <c r="G706" s="45"/>
      <c r="H706" s="45"/>
      <c r="I706" s="45"/>
      <c r="J706" s="4">
        <f>SUM(J709:J709)</f>
        <v>18</v>
      </c>
      <c r="K706" s="5">
        <f>ROUND(0*(1+L2/100),2)</f>
        <v>0</v>
      </c>
      <c r="L706" s="5">
        <f>ROUND(J706*K706,2)</f>
        <v>0</v>
      </c>
      <c r="AC706" s="58" t="s">
        <v>2193</v>
      </c>
    </row>
    <row r="707" spans="1:29" ht="121.5" hidden="1" customHeight="1" x14ac:dyDescent="0.2">
      <c r="A707" s="6"/>
      <c r="B707" s="6"/>
      <c r="C707" s="45" t="s">
        <v>1559</v>
      </c>
      <c r="D707" s="45"/>
      <c r="E707" s="45"/>
      <c r="F707" s="45"/>
      <c r="G707" s="45"/>
      <c r="H707" s="45"/>
      <c r="I707" s="45"/>
      <c r="J707" s="45"/>
      <c r="K707" s="45"/>
      <c r="L707" s="45"/>
      <c r="AC707" s="58" t="s">
        <v>2193</v>
      </c>
    </row>
    <row r="708" spans="1:29" ht="15.2" hidden="1" customHeight="1" x14ac:dyDescent="0.2">
      <c r="A708" s="6"/>
      <c r="B708" s="6"/>
      <c r="C708" s="6"/>
      <c r="D708" s="7"/>
      <c r="E708" s="9" t="s">
        <v>1560</v>
      </c>
      <c r="F708" s="9" t="s">
        <v>1561</v>
      </c>
      <c r="G708" s="9" t="s">
        <v>1562</v>
      </c>
      <c r="H708" s="9" t="s">
        <v>1563</v>
      </c>
      <c r="I708" s="9" t="s">
        <v>1564</v>
      </c>
      <c r="J708" s="9" t="s">
        <v>1565</v>
      </c>
      <c r="K708" s="6"/>
      <c r="L708" s="6"/>
      <c r="AC708" s="58" t="s">
        <v>2193</v>
      </c>
    </row>
    <row r="709" spans="1:29" ht="22.5" hidden="1" x14ac:dyDescent="0.2">
      <c r="A709" s="6"/>
      <c r="B709" s="6"/>
      <c r="C709" s="10"/>
      <c r="D709" s="11" t="s">
        <v>1566</v>
      </c>
      <c r="E709" s="12">
        <v>18</v>
      </c>
      <c r="F709" s="13"/>
      <c r="G709" s="13"/>
      <c r="H709" s="13"/>
      <c r="I709" s="15">
        <f>ROUND(E709,3)</f>
        <v>18</v>
      </c>
      <c r="J709" s="17">
        <f>SUM(I709:I709)</f>
        <v>18</v>
      </c>
      <c r="K709" s="6"/>
      <c r="L709" s="6"/>
      <c r="AC709" s="58" t="s">
        <v>2193</v>
      </c>
    </row>
    <row r="710" spans="1:29" ht="15.4" hidden="1" customHeight="1" x14ac:dyDescent="0.2">
      <c r="A710" s="37" t="s">
        <v>1567</v>
      </c>
      <c r="B710" s="34"/>
      <c r="C710" s="46" t="s">
        <v>1568</v>
      </c>
      <c r="D710" s="46"/>
      <c r="E710" s="46"/>
      <c r="F710" s="46"/>
      <c r="G710" s="46"/>
      <c r="H710" s="46"/>
      <c r="I710" s="46"/>
      <c r="J710" s="34"/>
      <c r="K710" s="35">
        <v>0</v>
      </c>
      <c r="L710" s="35">
        <f>ROUND(K710,2)</f>
        <v>0</v>
      </c>
      <c r="AC710" s="58" t="s">
        <v>2193</v>
      </c>
    </row>
    <row r="711" spans="1:29" ht="15.4" hidden="1" customHeight="1" x14ac:dyDescent="0.2">
      <c r="A711" s="3" t="s">
        <v>1569</v>
      </c>
      <c r="B711" s="2" t="s">
        <v>1570</v>
      </c>
      <c r="C711" s="45" t="s">
        <v>1571</v>
      </c>
      <c r="D711" s="45"/>
      <c r="E711" s="45"/>
      <c r="F711" s="45"/>
      <c r="G711" s="45"/>
      <c r="H711" s="45"/>
      <c r="I711" s="45"/>
      <c r="J711" s="4">
        <f>ROUND(1,2)</f>
        <v>1</v>
      </c>
      <c r="K711" s="5">
        <f>ROUND(0*(1+L2/100),2)</f>
        <v>0</v>
      </c>
      <c r="L711" s="5">
        <f>ROUND(J711*K711,2)</f>
        <v>0</v>
      </c>
      <c r="AC711" s="58" t="s">
        <v>2193</v>
      </c>
    </row>
    <row r="712" spans="1:29" ht="26.25" hidden="1" customHeight="1" x14ac:dyDescent="0.2">
      <c r="A712" s="6"/>
      <c r="B712" s="6"/>
      <c r="C712" s="45" t="s">
        <v>1572</v>
      </c>
      <c r="D712" s="45"/>
      <c r="E712" s="45"/>
      <c r="F712" s="45"/>
      <c r="G712" s="45"/>
      <c r="H712" s="45"/>
      <c r="I712" s="45"/>
      <c r="J712" s="45"/>
      <c r="K712" s="45"/>
      <c r="L712" s="45"/>
      <c r="AC712" s="58" t="s">
        <v>2193</v>
      </c>
    </row>
    <row r="713" spans="1:29" ht="15.4" hidden="1" customHeight="1" x14ac:dyDescent="0.2">
      <c r="A713" s="31" t="s">
        <v>1573</v>
      </c>
      <c r="B713" s="28"/>
      <c r="C713" s="44" t="s">
        <v>1574</v>
      </c>
      <c r="D713" s="44"/>
      <c r="E713" s="44"/>
      <c r="F713" s="44"/>
      <c r="G713" s="44"/>
      <c r="H713" s="44"/>
      <c r="I713" s="44"/>
      <c r="J713" s="28"/>
      <c r="K713" s="29">
        <v>0</v>
      </c>
      <c r="L713" s="29">
        <f>ROUND(K713,2)</f>
        <v>0</v>
      </c>
    </row>
    <row r="714" spans="1:29" ht="15.4" hidden="1" customHeight="1" x14ac:dyDescent="0.2">
      <c r="A714" s="36" t="s">
        <v>1575</v>
      </c>
      <c r="B714" s="32"/>
      <c r="C714" s="47" t="s">
        <v>1576</v>
      </c>
      <c r="D714" s="47"/>
      <c r="E714" s="47"/>
      <c r="F714" s="47"/>
      <c r="G714" s="47"/>
      <c r="H714" s="47"/>
      <c r="I714" s="47"/>
      <c r="J714" s="32"/>
      <c r="K714" s="33">
        <v>0</v>
      </c>
      <c r="L714" s="33">
        <f>ROUND(K714,2)</f>
        <v>0</v>
      </c>
    </row>
    <row r="715" spans="1:29" ht="15.4" hidden="1" customHeight="1" x14ac:dyDescent="0.2">
      <c r="A715" s="3" t="s">
        <v>1577</v>
      </c>
      <c r="B715" s="2" t="s">
        <v>1578</v>
      </c>
      <c r="C715" s="45" t="s">
        <v>1579</v>
      </c>
      <c r="D715" s="45"/>
      <c r="E715" s="45"/>
      <c r="F715" s="45"/>
      <c r="G715" s="45"/>
      <c r="H715" s="45"/>
      <c r="I715" s="45"/>
      <c r="J715" s="4">
        <f>SUM(J718:J724)</f>
        <v>90.33</v>
      </c>
      <c r="K715" s="5">
        <f>ROUND(0*(1+L2/100),2)</f>
        <v>0</v>
      </c>
      <c r="L715" s="5">
        <f>ROUND(J715*K715,2)</f>
        <v>0</v>
      </c>
    </row>
    <row r="716" spans="1:29" ht="84.75" hidden="1" customHeight="1" x14ac:dyDescent="0.2">
      <c r="A716" s="6"/>
      <c r="B716" s="6"/>
      <c r="C716" s="45" t="s">
        <v>1580</v>
      </c>
      <c r="D716" s="45"/>
      <c r="E716" s="45"/>
      <c r="F716" s="45"/>
      <c r="G716" s="45"/>
      <c r="H716" s="45"/>
      <c r="I716" s="45"/>
      <c r="J716" s="45"/>
      <c r="K716" s="45"/>
      <c r="L716" s="45"/>
    </row>
    <row r="717" spans="1:29" ht="15.2" hidden="1" customHeight="1" x14ac:dyDescent="0.2">
      <c r="A717" s="6"/>
      <c r="B717" s="6"/>
      <c r="C717" s="6"/>
      <c r="D717" s="7"/>
      <c r="E717" s="9" t="s">
        <v>1581</v>
      </c>
      <c r="F717" s="9" t="s">
        <v>1582</v>
      </c>
      <c r="G717" s="9" t="s">
        <v>1583</v>
      </c>
      <c r="H717" s="9" t="s">
        <v>1584</v>
      </c>
      <c r="I717" s="9" t="s">
        <v>1585</v>
      </c>
      <c r="J717" s="9" t="s">
        <v>1586</v>
      </c>
      <c r="K717" s="6"/>
      <c r="L717" s="6"/>
    </row>
    <row r="718" spans="1:29" ht="33.75" hidden="1" x14ac:dyDescent="0.2">
      <c r="A718" s="6"/>
      <c r="B718" s="6"/>
      <c r="C718" s="10"/>
      <c r="D718" s="11" t="s">
        <v>1587</v>
      </c>
      <c r="E718" s="12"/>
      <c r="F718" s="13"/>
      <c r="G718" s="13"/>
      <c r="H718" s="13"/>
      <c r="I718" s="19" t="s">
        <v>1588</v>
      </c>
      <c r="J718" s="18"/>
      <c r="K718" s="6"/>
      <c r="L718" s="6"/>
    </row>
    <row r="719" spans="1:29" hidden="1" x14ac:dyDescent="0.2">
      <c r="A719" s="6"/>
      <c r="B719" s="6"/>
      <c r="C719" s="10"/>
      <c r="D719" s="2" t="s">
        <v>1589</v>
      </c>
      <c r="E719" s="1"/>
      <c r="F719" s="5"/>
      <c r="G719" s="5"/>
      <c r="H719" s="5"/>
      <c r="I719" s="8" t="s">
        <v>1590</v>
      </c>
      <c r="J719" s="6"/>
      <c r="K719" s="6"/>
      <c r="L719" s="6"/>
    </row>
    <row r="720" spans="1:29" hidden="1" x14ac:dyDescent="0.2">
      <c r="A720" s="6"/>
      <c r="B720" s="6"/>
      <c r="C720" s="10"/>
      <c r="D720" s="2" t="s">
        <v>1591</v>
      </c>
      <c r="E720" s="1">
        <v>1</v>
      </c>
      <c r="F720" s="5">
        <v>10.55</v>
      </c>
      <c r="G720" s="5"/>
      <c r="H720" s="5">
        <v>2.2999999999999998</v>
      </c>
      <c r="I720" s="14">
        <f>ROUND(E720*F720*H720,3)</f>
        <v>24.265000000000001</v>
      </c>
      <c r="J720" s="6"/>
      <c r="K720" s="6"/>
      <c r="L720" s="6"/>
    </row>
    <row r="721" spans="1:19" hidden="1" x14ac:dyDescent="0.2">
      <c r="A721" s="6"/>
      <c r="B721" s="6"/>
      <c r="C721" s="10"/>
      <c r="D721" s="2" t="s">
        <v>1592</v>
      </c>
      <c r="E721" s="1">
        <v>1</v>
      </c>
      <c r="F721" s="5">
        <v>6.55</v>
      </c>
      <c r="G721" s="5"/>
      <c r="H721" s="5">
        <v>2.2999999999999998</v>
      </c>
      <c r="I721" s="14">
        <f>ROUND(E721*F721*H721,3)</f>
        <v>15.065</v>
      </c>
      <c r="J721" s="6"/>
      <c r="K721" s="6"/>
      <c r="L721" s="6"/>
    </row>
    <row r="722" spans="1:19" hidden="1" x14ac:dyDescent="0.2">
      <c r="A722" s="6"/>
      <c r="B722" s="6"/>
      <c r="C722" s="10"/>
      <c r="D722" s="2" t="s">
        <v>1593</v>
      </c>
      <c r="E722" s="1"/>
      <c r="F722" s="5"/>
      <c r="G722" s="5"/>
      <c r="H722" s="5"/>
      <c r="I722" s="8" t="s">
        <v>1594</v>
      </c>
      <c r="J722" s="6"/>
      <c r="K722" s="6"/>
      <c r="L722" s="6"/>
    </row>
    <row r="723" spans="1:19" hidden="1" x14ac:dyDescent="0.2">
      <c r="A723" s="6"/>
      <c r="B723" s="6"/>
      <c r="C723" s="10"/>
      <c r="D723" s="2" t="s">
        <v>1595</v>
      </c>
      <c r="E723" s="1">
        <v>1</v>
      </c>
      <c r="F723" s="5">
        <v>10.65</v>
      </c>
      <c r="G723" s="5"/>
      <c r="H723" s="5">
        <v>2.4</v>
      </c>
      <c r="I723" s="14">
        <f>ROUND(E723*F723*H723,3)</f>
        <v>25.56</v>
      </c>
      <c r="J723" s="6"/>
      <c r="K723" s="6"/>
      <c r="L723" s="6"/>
    </row>
    <row r="724" spans="1:19" hidden="1" x14ac:dyDescent="0.2">
      <c r="A724" s="6"/>
      <c r="B724" s="6"/>
      <c r="C724" s="10"/>
      <c r="D724" s="2" t="s">
        <v>1596</v>
      </c>
      <c r="E724" s="1">
        <v>1</v>
      </c>
      <c r="F724" s="5">
        <v>10.6</v>
      </c>
      <c r="G724" s="5"/>
      <c r="H724" s="5">
        <v>2.4</v>
      </c>
      <c r="I724" s="14">
        <f>ROUND(E724*F724*H724,3)</f>
        <v>25.44</v>
      </c>
      <c r="J724" s="16">
        <f>SUM(I718:I724)</f>
        <v>90.33</v>
      </c>
      <c r="K724" s="6"/>
      <c r="L724" s="6"/>
    </row>
    <row r="725" spans="1:19" ht="15.4" hidden="1" customHeight="1" x14ac:dyDescent="0.2">
      <c r="A725" s="37" t="s">
        <v>1597</v>
      </c>
      <c r="B725" s="34"/>
      <c r="C725" s="46" t="s">
        <v>1598</v>
      </c>
      <c r="D725" s="46"/>
      <c r="E725" s="46"/>
      <c r="F725" s="46"/>
      <c r="G725" s="46"/>
      <c r="H725" s="46"/>
      <c r="I725" s="46"/>
      <c r="J725" s="34"/>
      <c r="K725" s="35">
        <v>0</v>
      </c>
      <c r="L725" s="35">
        <f>ROUND(K725,2)</f>
        <v>0</v>
      </c>
      <c r="S725" s="58" t="s">
        <v>2183</v>
      </c>
    </row>
    <row r="726" spans="1:19" hidden="1" x14ac:dyDescent="0.2">
      <c r="A726" s="3" t="s">
        <v>1599</v>
      </c>
      <c r="B726" s="2" t="s">
        <v>1600</v>
      </c>
      <c r="C726" s="45" t="s">
        <v>1601</v>
      </c>
      <c r="D726" s="45"/>
      <c r="E726" s="45"/>
      <c r="F726" s="45"/>
      <c r="G726" s="45"/>
      <c r="H726" s="45"/>
      <c r="I726" s="45"/>
      <c r="J726" s="4">
        <f>ROUND(2,2)</f>
        <v>2</v>
      </c>
      <c r="K726" s="5">
        <f>ROUND(0*(1+L2/100),2)</f>
        <v>0</v>
      </c>
      <c r="L726" s="5">
        <f>ROUND(J726*K726,2)</f>
        <v>0</v>
      </c>
      <c r="S726" s="58" t="s">
        <v>2183</v>
      </c>
    </row>
    <row r="727" spans="1:19" hidden="1" x14ac:dyDescent="0.2">
      <c r="A727" s="6"/>
      <c r="B727" s="6"/>
      <c r="C727" s="45" t="s">
        <v>1602</v>
      </c>
      <c r="D727" s="45"/>
      <c r="E727" s="45"/>
      <c r="F727" s="45"/>
      <c r="G727" s="45"/>
      <c r="H727" s="45"/>
      <c r="I727" s="45"/>
      <c r="J727" s="45"/>
      <c r="K727" s="45"/>
      <c r="L727" s="45"/>
      <c r="S727" s="58" t="s">
        <v>2183</v>
      </c>
    </row>
    <row r="728" spans="1:19" ht="15.4" hidden="1" customHeight="1" x14ac:dyDescent="0.2">
      <c r="A728" s="37" t="s">
        <v>1603</v>
      </c>
      <c r="B728" s="34"/>
      <c r="C728" s="46" t="s">
        <v>1604</v>
      </c>
      <c r="D728" s="46"/>
      <c r="E728" s="46"/>
      <c r="F728" s="46"/>
      <c r="G728" s="46"/>
      <c r="H728" s="46"/>
      <c r="I728" s="46"/>
      <c r="J728" s="34"/>
      <c r="K728" s="35">
        <v>0</v>
      </c>
      <c r="L728" s="35">
        <f>ROUND(K728,2)</f>
        <v>0</v>
      </c>
    </row>
    <row r="729" spans="1:19" ht="15.4" hidden="1" customHeight="1" x14ac:dyDescent="0.2">
      <c r="A729" s="3" t="s">
        <v>1605</v>
      </c>
      <c r="B729" s="2" t="s">
        <v>1606</v>
      </c>
      <c r="C729" s="45" t="s">
        <v>1607</v>
      </c>
      <c r="D729" s="45"/>
      <c r="E729" s="45"/>
      <c r="F729" s="45"/>
      <c r="G729" s="45"/>
      <c r="H729" s="45"/>
      <c r="I729" s="45"/>
      <c r="J729" s="4">
        <f>SUM(J732:J735)</f>
        <v>51.46</v>
      </c>
      <c r="K729" s="5">
        <f>ROUND(0*(1+L2/100),2)</f>
        <v>0</v>
      </c>
      <c r="L729" s="5">
        <f>ROUND(J729*K729,2)</f>
        <v>0</v>
      </c>
    </row>
    <row r="730" spans="1:19" ht="57.75" hidden="1" customHeight="1" x14ac:dyDescent="0.2">
      <c r="A730" s="6"/>
      <c r="B730" s="6"/>
      <c r="C730" s="45" t="s">
        <v>1608</v>
      </c>
      <c r="D730" s="45"/>
      <c r="E730" s="45"/>
      <c r="F730" s="45"/>
      <c r="G730" s="45"/>
      <c r="H730" s="45"/>
      <c r="I730" s="45"/>
      <c r="J730" s="45"/>
      <c r="K730" s="45"/>
      <c r="L730" s="45"/>
    </row>
    <row r="731" spans="1:19" ht="15.2" hidden="1" customHeight="1" x14ac:dyDescent="0.2">
      <c r="A731" s="6"/>
      <c r="B731" s="6"/>
      <c r="C731" s="6"/>
      <c r="D731" s="7"/>
      <c r="E731" s="9" t="s">
        <v>1609</v>
      </c>
      <c r="F731" s="9" t="s">
        <v>1610</v>
      </c>
      <c r="G731" s="9" t="s">
        <v>1611</v>
      </c>
      <c r="H731" s="9" t="s">
        <v>1612</v>
      </c>
      <c r="I731" s="9" t="s">
        <v>1613</v>
      </c>
      <c r="J731" s="9" t="s">
        <v>1614</v>
      </c>
      <c r="K731" s="6"/>
      <c r="L731" s="6"/>
    </row>
    <row r="732" spans="1:19" ht="22.5" hidden="1" x14ac:dyDescent="0.2">
      <c r="A732" s="6"/>
      <c r="B732" s="6"/>
      <c r="C732" s="10"/>
      <c r="D732" s="11" t="s">
        <v>1615</v>
      </c>
      <c r="E732" s="12">
        <v>2</v>
      </c>
      <c r="F732" s="13">
        <v>3.6</v>
      </c>
      <c r="G732" s="13">
        <v>2.6</v>
      </c>
      <c r="H732" s="13"/>
      <c r="I732" s="15">
        <f>ROUND(E732*F732*G732,3)</f>
        <v>18.72</v>
      </c>
      <c r="J732" s="18"/>
      <c r="K732" s="6"/>
      <c r="L732" s="6"/>
    </row>
    <row r="733" spans="1:19" ht="22.5" hidden="1" x14ac:dyDescent="0.2">
      <c r="A733" s="6"/>
      <c r="B733" s="6"/>
      <c r="C733" s="10"/>
      <c r="D733" s="2" t="s">
        <v>1616</v>
      </c>
      <c r="E733" s="1">
        <v>2</v>
      </c>
      <c r="F733" s="5">
        <v>2.2999999999999998</v>
      </c>
      <c r="G733" s="5">
        <v>2.6</v>
      </c>
      <c r="H733" s="5"/>
      <c r="I733" s="14">
        <f>ROUND(E733*F733*G733,3)</f>
        <v>11.96</v>
      </c>
      <c r="J733" s="6"/>
      <c r="K733" s="6"/>
      <c r="L733" s="6"/>
    </row>
    <row r="734" spans="1:19" hidden="1" x14ac:dyDescent="0.2">
      <c r="A734" s="6"/>
      <c r="B734" s="6"/>
      <c r="C734" s="10"/>
      <c r="D734" s="2" t="s">
        <v>1617</v>
      </c>
      <c r="E734" s="1">
        <v>2</v>
      </c>
      <c r="F734" s="5">
        <v>2.5</v>
      </c>
      <c r="G734" s="5">
        <v>3.1</v>
      </c>
      <c r="H734" s="5"/>
      <c r="I734" s="14">
        <f>ROUND(E734*F734*G734,3)</f>
        <v>15.5</v>
      </c>
      <c r="J734" s="6"/>
      <c r="K734" s="6"/>
      <c r="L734" s="6"/>
    </row>
    <row r="735" spans="1:19" hidden="1" x14ac:dyDescent="0.2">
      <c r="A735" s="6"/>
      <c r="B735" s="6"/>
      <c r="C735" s="10"/>
      <c r="D735" s="2"/>
      <c r="E735" s="1">
        <v>2</v>
      </c>
      <c r="F735" s="5">
        <v>1.2</v>
      </c>
      <c r="G735" s="5">
        <v>2.2000000000000002</v>
      </c>
      <c r="H735" s="5"/>
      <c r="I735" s="14">
        <f>ROUND(E735*F735*G735,3)</f>
        <v>5.28</v>
      </c>
      <c r="J735" s="16">
        <f>SUM(I732:I735)</f>
        <v>51.46</v>
      </c>
      <c r="K735" s="6"/>
      <c r="L735" s="6"/>
    </row>
    <row r="736" spans="1:19" ht="15.4" hidden="1" customHeight="1" x14ac:dyDescent="0.2">
      <c r="A736" s="3" t="s">
        <v>1618</v>
      </c>
      <c r="B736" s="2" t="s">
        <v>1619</v>
      </c>
      <c r="C736" s="45" t="s">
        <v>1620</v>
      </c>
      <c r="D736" s="45"/>
      <c r="E736" s="45"/>
      <c r="F736" s="45"/>
      <c r="G736" s="45"/>
      <c r="H736" s="45"/>
      <c r="I736" s="45"/>
      <c r="J736" s="4">
        <f>SUM(J739:J746)</f>
        <v>248.48500000000001</v>
      </c>
      <c r="K736" s="5">
        <f>ROUND(0*(1+L2/100),2)</f>
        <v>0</v>
      </c>
      <c r="L736" s="5">
        <f>ROUND(J736*K736,2)</f>
        <v>0</v>
      </c>
    </row>
    <row r="737" spans="1:24" ht="29.25" hidden="1" customHeight="1" x14ac:dyDescent="0.2">
      <c r="A737" s="6"/>
      <c r="B737" s="6"/>
      <c r="C737" s="45" t="s">
        <v>1621</v>
      </c>
      <c r="D737" s="45"/>
      <c r="E737" s="45"/>
      <c r="F737" s="45"/>
      <c r="G737" s="45"/>
      <c r="H737" s="45"/>
      <c r="I737" s="45"/>
      <c r="J737" s="45"/>
      <c r="K737" s="45"/>
      <c r="L737" s="45"/>
    </row>
    <row r="738" spans="1:24" ht="15.2" hidden="1" customHeight="1" x14ac:dyDescent="0.2">
      <c r="A738" s="6"/>
      <c r="B738" s="6"/>
      <c r="C738" s="6"/>
      <c r="D738" s="7"/>
      <c r="E738" s="9" t="s">
        <v>1622</v>
      </c>
      <c r="F738" s="9" t="s">
        <v>1623</v>
      </c>
      <c r="G738" s="9" t="s">
        <v>1624</v>
      </c>
      <c r="H738" s="9" t="s">
        <v>1625</v>
      </c>
      <c r="I738" s="9" t="s">
        <v>1626</v>
      </c>
      <c r="J738" s="9" t="s">
        <v>1627</v>
      </c>
      <c r="K738" s="6"/>
      <c r="L738" s="6"/>
    </row>
    <row r="739" spans="1:24" ht="22.5" hidden="1" x14ac:dyDescent="0.2">
      <c r="A739" s="6"/>
      <c r="B739" s="6"/>
      <c r="C739" s="10"/>
      <c r="D739" s="11" t="s">
        <v>1628</v>
      </c>
      <c r="E739" s="12"/>
      <c r="F739" s="13"/>
      <c r="G739" s="13"/>
      <c r="H739" s="13"/>
      <c r="I739" s="19" t="s">
        <v>1629</v>
      </c>
      <c r="J739" s="18"/>
      <c r="K739" s="6"/>
      <c r="L739" s="6"/>
    </row>
    <row r="740" spans="1:24" ht="22.5" hidden="1" x14ac:dyDescent="0.2">
      <c r="A740" s="6"/>
      <c r="B740" s="6"/>
      <c r="C740" s="10"/>
      <c r="D740" s="2" t="s">
        <v>1630</v>
      </c>
      <c r="E740" s="1">
        <v>1</v>
      </c>
      <c r="F740" s="5">
        <v>10.35</v>
      </c>
      <c r="G740" s="5"/>
      <c r="H740" s="5">
        <v>3.3</v>
      </c>
      <c r="I740" s="14">
        <f>ROUND(E740*F740*H740,3)</f>
        <v>34.155000000000001</v>
      </c>
      <c r="J740" s="6"/>
      <c r="K740" s="6"/>
      <c r="L740" s="6"/>
    </row>
    <row r="741" spans="1:24" hidden="1" x14ac:dyDescent="0.2">
      <c r="A741" s="6"/>
      <c r="B741" s="6"/>
      <c r="C741" s="10"/>
      <c r="D741" s="2" t="s">
        <v>1631</v>
      </c>
      <c r="E741" s="1">
        <v>1</v>
      </c>
      <c r="F741" s="5">
        <v>9.1999999999999993</v>
      </c>
      <c r="G741" s="5"/>
      <c r="H741" s="5">
        <v>3.3</v>
      </c>
      <c r="I741" s="14">
        <f>ROUND(E741*F741*H741,3)</f>
        <v>30.36</v>
      </c>
      <c r="J741" s="6"/>
      <c r="K741" s="6"/>
      <c r="L741" s="6"/>
    </row>
    <row r="742" spans="1:24" ht="22.5" hidden="1" x14ac:dyDescent="0.2">
      <c r="A742" s="6"/>
      <c r="B742" s="6"/>
      <c r="C742" s="10"/>
      <c r="D742" s="2" t="s">
        <v>1632</v>
      </c>
      <c r="E742" s="1">
        <v>1</v>
      </c>
      <c r="F742" s="5">
        <v>4.8499999999999996</v>
      </c>
      <c r="G742" s="5"/>
      <c r="H742" s="5">
        <v>2.6</v>
      </c>
      <c r="I742" s="14">
        <f>ROUND(E742*F742*H742,3)</f>
        <v>12.61</v>
      </c>
      <c r="J742" s="6"/>
      <c r="K742" s="6"/>
      <c r="L742" s="6"/>
    </row>
    <row r="743" spans="1:24" ht="22.5" hidden="1" x14ac:dyDescent="0.2">
      <c r="A743" s="6"/>
      <c r="B743" s="6"/>
      <c r="C743" s="10"/>
      <c r="D743" s="2" t="s">
        <v>1633</v>
      </c>
      <c r="E743" s="1">
        <v>1</v>
      </c>
      <c r="F743" s="5">
        <v>2.1</v>
      </c>
      <c r="G743" s="5"/>
      <c r="H743" s="5">
        <v>2.6</v>
      </c>
      <c r="I743" s="14">
        <f>ROUND(E743*F743*H743,3)</f>
        <v>5.46</v>
      </c>
      <c r="J743" s="6"/>
      <c r="K743" s="6"/>
      <c r="L743" s="6"/>
    </row>
    <row r="744" spans="1:24" hidden="1" x14ac:dyDescent="0.2">
      <c r="A744" s="6"/>
      <c r="B744" s="6"/>
      <c r="C744" s="10"/>
      <c r="D744" s="2" t="s">
        <v>1634</v>
      </c>
      <c r="E744" s="1"/>
      <c r="F744" s="5"/>
      <c r="G744" s="5"/>
      <c r="H744" s="5"/>
      <c r="I744" s="8" t="s">
        <v>1635</v>
      </c>
      <c r="J744" s="6"/>
      <c r="K744" s="6"/>
      <c r="L744" s="6"/>
    </row>
    <row r="745" spans="1:24" hidden="1" x14ac:dyDescent="0.2">
      <c r="A745" s="6"/>
      <c r="B745" s="6"/>
      <c r="C745" s="10"/>
      <c r="D745" s="2" t="s">
        <v>1636</v>
      </c>
      <c r="E745" s="1">
        <v>2</v>
      </c>
      <c r="F745" s="5">
        <v>10.45</v>
      </c>
      <c r="G745" s="5"/>
      <c r="H745" s="5">
        <v>4.2</v>
      </c>
      <c r="I745" s="14">
        <f>ROUND(E745*F745*H745,3)</f>
        <v>87.78</v>
      </c>
      <c r="J745" s="6"/>
      <c r="K745" s="6"/>
      <c r="L745" s="6"/>
    </row>
    <row r="746" spans="1:24" hidden="1" x14ac:dyDescent="0.2">
      <c r="A746" s="6"/>
      <c r="B746" s="6"/>
      <c r="C746" s="10"/>
      <c r="D746" s="2" t="s">
        <v>1637</v>
      </c>
      <c r="E746" s="1">
        <v>2</v>
      </c>
      <c r="F746" s="5">
        <v>9.3000000000000007</v>
      </c>
      <c r="G746" s="5"/>
      <c r="H746" s="5">
        <v>4.2</v>
      </c>
      <c r="I746" s="14">
        <f>ROUND(E746*F746*H746,3)</f>
        <v>78.12</v>
      </c>
      <c r="J746" s="16">
        <f>SUM(I739:I746)</f>
        <v>248.48500000000001</v>
      </c>
      <c r="K746" s="6"/>
      <c r="L746" s="6"/>
    </row>
    <row r="747" spans="1:24" ht="15.4" hidden="1" customHeight="1" x14ac:dyDescent="0.2">
      <c r="A747" s="37" t="s">
        <v>1638</v>
      </c>
      <c r="B747" s="34"/>
      <c r="C747" s="46" t="s">
        <v>1639</v>
      </c>
      <c r="D747" s="46"/>
      <c r="E747" s="46"/>
      <c r="F747" s="46"/>
      <c r="G747" s="46"/>
      <c r="H747" s="46"/>
      <c r="I747" s="46"/>
      <c r="J747" s="34"/>
      <c r="K747" s="35">
        <v>0</v>
      </c>
      <c r="L747" s="35">
        <f>ROUND(K747,2)</f>
        <v>0</v>
      </c>
      <c r="X747" s="58" t="s">
        <v>2188</v>
      </c>
    </row>
    <row r="748" spans="1:24" ht="15.4" hidden="1" customHeight="1" x14ac:dyDescent="0.2">
      <c r="A748" s="3" t="s">
        <v>1640</v>
      </c>
      <c r="B748" s="2" t="s">
        <v>1641</v>
      </c>
      <c r="C748" s="45" t="s">
        <v>1642</v>
      </c>
      <c r="D748" s="45"/>
      <c r="E748" s="45"/>
      <c r="F748" s="45"/>
      <c r="G748" s="45"/>
      <c r="H748" s="45"/>
      <c r="I748" s="45"/>
      <c r="J748" s="4">
        <f>SUM(J751:J753)</f>
        <v>41.124000000000002</v>
      </c>
      <c r="K748" s="5">
        <f>ROUND(0*(1+L2/100),2)</f>
        <v>0</v>
      </c>
      <c r="L748" s="5">
        <f>ROUND(J748*K748,2)</f>
        <v>0</v>
      </c>
      <c r="X748" s="58" t="s">
        <v>2188</v>
      </c>
    </row>
    <row r="749" spans="1:24" ht="87" hidden="1" customHeight="1" x14ac:dyDescent="0.2">
      <c r="A749" s="6"/>
      <c r="B749" s="6"/>
      <c r="C749" s="45" t="s">
        <v>1643</v>
      </c>
      <c r="D749" s="45"/>
      <c r="E749" s="45"/>
      <c r="F749" s="45"/>
      <c r="G749" s="45"/>
      <c r="H749" s="45"/>
      <c r="I749" s="45"/>
      <c r="J749" s="45"/>
      <c r="K749" s="45"/>
      <c r="L749" s="45"/>
      <c r="X749" s="58" t="s">
        <v>2188</v>
      </c>
    </row>
    <row r="750" spans="1:24" ht="15.2" hidden="1" customHeight="1" x14ac:dyDescent="0.2">
      <c r="A750" s="6"/>
      <c r="B750" s="6"/>
      <c r="C750" s="6"/>
      <c r="D750" s="7"/>
      <c r="E750" s="9" t="s">
        <v>1644</v>
      </c>
      <c r="F750" s="9" t="s">
        <v>1645</v>
      </c>
      <c r="G750" s="9" t="s">
        <v>1646</v>
      </c>
      <c r="H750" s="9" t="s">
        <v>1647</v>
      </c>
      <c r="I750" s="9" t="s">
        <v>1648</v>
      </c>
      <c r="J750" s="9" t="s">
        <v>1649</v>
      </c>
      <c r="K750" s="6"/>
      <c r="L750" s="6"/>
      <c r="X750" s="58" t="s">
        <v>2188</v>
      </c>
    </row>
    <row r="751" spans="1:24" ht="22.5" hidden="1" x14ac:dyDescent="0.2">
      <c r="A751" s="6"/>
      <c r="B751" s="6"/>
      <c r="C751" s="10"/>
      <c r="D751" s="11" t="s">
        <v>1650</v>
      </c>
      <c r="E751" s="12">
        <v>1</v>
      </c>
      <c r="F751" s="13">
        <v>5.6</v>
      </c>
      <c r="G751" s="13"/>
      <c r="H751" s="13">
        <v>3.2</v>
      </c>
      <c r="I751" s="15">
        <f>ROUND(E751*F751*H751,3)</f>
        <v>17.920000000000002</v>
      </c>
      <c r="J751" s="18"/>
      <c r="K751" s="6"/>
      <c r="L751" s="6"/>
      <c r="X751" s="58" t="s">
        <v>2188</v>
      </c>
    </row>
    <row r="752" spans="1:24" ht="22.5" hidden="1" x14ac:dyDescent="0.2">
      <c r="A752" s="6"/>
      <c r="B752" s="6"/>
      <c r="C752" s="10"/>
      <c r="D752" s="2" t="s">
        <v>1651</v>
      </c>
      <c r="E752" s="1">
        <v>1</v>
      </c>
      <c r="F752" s="5">
        <v>4.45</v>
      </c>
      <c r="G752" s="5"/>
      <c r="H752" s="5">
        <v>3.52</v>
      </c>
      <c r="I752" s="14">
        <f>ROUND(E752*F752*H752,3)</f>
        <v>15.664</v>
      </c>
      <c r="J752" s="6"/>
      <c r="K752" s="6"/>
      <c r="L752" s="6"/>
      <c r="X752" s="58" t="s">
        <v>2188</v>
      </c>
    </row>
    <row r="753" spans="1:24" ht="22.5" hidden="1" x14ac:dyDescent="0.2">
      <c r="A753" s="6"/>
      <c r="B753" s="6"/>
      <c r="C753" s="10"/>
      <c r="D753" s="2" t="s">
        <v>1652</v>
      </c>
      <c r="E753" s="1">
        <v>1</v>
      </c>
      <c r="F753" s="5">
        <v>2.9</v>
      </c>
      <c r="G753" s="5"/>
      <c r="H753" s="5">
        <v>2.6</v>
      </c>
      <c r="I753" s="14">
        <f>ROUND(E753*F753*H753,3)</f>
        <v>7.54</v>
      </c>
      <c r="J753" s="16">
        <f>SUM(I751:I753)</f>
        <v>41.124000000000002</v>
      </c>
      <c r="K753" s="6"/>
      <c r="L753" s="6"/>
      <c r="X753" s="58" t="s">
        <v>2188</v>
      </c>
    </row>
    <row r="754" spans="1:24" ht="15.4" hidden="1" customHeight="1" x14ac:dyDescent="0.2">
      <c r="A754" s="37" t="s">
        <v>1653</v>
      </c>
      <c r="B754" s="34"/>
      <c r="C754" s="46" t="s">
        <v>1654</v>
      </c>
      <c r="D754" s="46"/>
      <c r="E754" s="46"/>
      <c r="F754" s="46"/>
      <c r="G754" s="46"/>
      <c r="H754" s="46"/>
      <c r="I754" s="46"/>
      <c r="J754" s="34"/>
      <c r="K754" s="35">
        <v>0</v>
      </c>
      <c r="L754" s="35">
        <f>ROUND(K754,2)</f>
        <v>0</v>
      </c>
      <c r="O754" s="58" t="s">
        <v>2179</v>
      </c>
      <c r="Q754" s="58" t="s">
        <v>2181</v>
      </c>
      <c r="T754" s="58" t="s">
        <v>2184</v>
      </c>
    </row>
    <row r="755" spans="1:24" ht="15.4" hidden="1" customHeight="1" x14ac:dyDescent="0.2">
      <c r="A755" s="3" t="s">
        <v>1655</v>
      </c>
      <c r="B755" s="2" t="s">
        <v>1656</v>
      </c>
      <c r="C755" s="45" t="s">
        <v>1657</v>
      </c>
      <c r="D755" s="45"/>
      <c r="E755" s="45"/>
      <c r="F755" s="45"/>
      <c r="G755" s="45"/>
      <c r="H755" s="45"/>
      <c r="I755" s="45"/>
      <c r="J755" s="4">
        <f>SUM(J758:J765)</f>
        <v>10.408000000000001</v>
      </c>
      <c r="K755" s="5">
        <f>ROUND(0*(1+L2/100),2)</f>
        <v>0</v>
      </c>
      <c r="L755" s="5">
        <f>ROUND(J755*K755,2)</f>
        <v>0</v>
      </c>
    </row>
    <row r="756" spans="1:24" ht="43.5" hidden="1" customHeight="1" x14ac:dyDescent="0.2">
      <c r="A756" s="6"/>
      <c r="B756" s="6"/>
      <c r="C756" s="45" t="s">
        <v>1658</v>
      </c>
      <c r="D756" s="45"/>
      <c r="E756" s="45"/>
      <c r="F756" s="45"/>
      <c r="G756" s="45"/>
      <c r="H756" s="45"/>
      <c r="I756" s="45"/>
      <c r="J756" s="45"/>
      <c r="K756" s="45"/>
      <c r="L756" s="45"/>
    </row>
    <row r="757" spans="1:24" ht="15.2" hidden="1" customHeight="1" x14ac:dyDescent="0.2">
      <c r="A757" s="6"/>
      <c r="B757" s="6"/>
      <c r="C757" s="6"/>
      <c r="D757" s="7"/>
      <c r="E757" s="9" t="s">
        <v>1659</v>
      </c>
      <c r="F757" s="9" t="s">
        <v>1660</v>
      </c>
      <c r="G757" s="9" t="s">
        <v>1661</v>
      </c>
      <c r="H757" s="9" t="s">
        <v>1662</v>
      </c>
      <c r="I757" s="9" t="s">
        <v>1663</v>
      </c>
      <c r="J757" s="9" t="s">
        <v>1664</v>
      </c>
      <c r="K757" s="6"/>
      <c r="L757" s="6"/>
    </row>
    <row r="758" spans="1:24" ht="22.5" hidden="1" x14ac:dyDescent="0.2">
      <c r="A758" s="6"/>
      <c r="B758" s="6"/>
      <c r="C758" s="10"/>
      <c r="D758" s="11" t="s">
        <v>1665</v>
      </c>
      <c r="E758" s="12">
        <v>4</v>
      </c>
      <c r="F758" s="13">
        <v>1.5</v>
      </c>
      <c r="G758" s="13">
        <v>0.3</v>
      </c>
      <c r="H758" s="13"/>
      <c r="I758" s="15">
        <f>ROUND(E758*F758*G758,3)</f>
        <v>1.8</v>
      </c>
      <c r="J758" s="18"/>
      <c r="K758" s="6"/>
      <c r="L758" s="6"/>
    </row>
    <row r="759" spans="1:24" ht="22.5" hidden="1" x14ac:dyDescent="0.2">
      <c r="A759" s="6"/>
      <c r="B759" s="6"/>
      <c r="C759" s="10"/>
      <c r="D759" s="2" t="s">
        <v>1666</v>
      </c>
      <c r="E759" s="1">
        <v>5</v>
      </c>
      <c r="F759" s="5">
        <v>1.5</v>
      </c>
      <c r="G759" s="5"/>
      <c r="H759" s="5">
        <v>0.2</v>
      </c>
      <c r="I759" s="14">
        <f>ROUND(E759*F759*H759,3)</f>
        <v>1.5</v>
      </c>
      <c r="J759" s="6"/>
      <c r="K759" s="6"/>
      <c r="L759" s="6"/>
    </row>
    <row r="760" spans="1:24" ht="22.5" hidden="1" x14ac:dyDescent="0.2">
      <c r="A760" s="6"/>
      <c r="B760" s="6"/>
      <c r="C760" s="10"/>
      <c r="D760" s="2" t="s">
        <v>1667</v>
      </c>
      <c r="E760" s="1">
        <v>2</v>
      </c>
      <c r="F760" s="5">
        <v>2.1</v>
      </c>
      <c r="G760" s="5">
        <v>0.28000000000000003</v>
      </c>
      <c r="H760" s="5"/>
      <c r="I760" s="14">
        <f>ROUND(E760*F760*G760,3)</f>
        <v>1.1759999999999999</v>
      </c>
      <c r="J760" s="6"/>
      <c r="K760" s="6"/>
      <c r="L760" s="6"/>
    </row>
    <row r="761" spans="1:24" hidden="1" x14ac:dyDescent="0.2">
      <c r="A761" s="6"/>
      <c r="B761" s="6"/>
      <c r="C761" s="10"/>
      <c r="D761" s="2" t="s">
        <v>1668</v>
      </c>
      <c r="E761" s="1">
        <v>3</v>
      </c>
      <c r="F761" s="5">
        <v>2.1</v>
      </c>
      <c r="G761" s="5"/>
      <c r="H761" s="5">
        <v>0.2</v>
      </c>
      <c r="I761" s="14">
        <f>ROUND(E761*F761*H761,3)</f>
        <v>1.26</v>
      </c>
      <c r="J761" s="6"/>
      <c r="K761" s="6"/>
      <c r="L761" s="6"/>
    </row>
    <row r="762" spans="1:24" ht="22.5" hidden="1" x14ac:dyDescent="0.2">
      <c r="A762" s="6"/>
      <c r="B762" s="6"/>
      <c r="C762" s="10"/>
      <c r="D762" s="2" t="s">
        <v>1669</v>
      </c>
      <c r="E762" s="1">
        <v>4</v>
      </c>
      <c r="F762" s="5">
        <v>1.1000000000000001</v>
      </c>
      <c r="G762" s="5">
        <v>0.28999999999999998</v>
      </c>
      <c r="H762" s="5"/>
      <c r="I762" s="14">
        <f>ROUND(E762*F762*G762,3)</f>
        <v>1.276</v>
      </c>
      <c r="J762" s="6"/>
      <c r="K762" s="6"/>
      <c r="L762" s="6"/>
    </row>
    <row r="763" spans="1:24" ht="22.5" hidden="1" x14ac:dyDescent="0.2">
      <c r="A763" s="6"/>
      <c r="B763" s="6"/>
      <c r="C763" s="10"/>
      <c r="D763" s="2" t="s">
        <v>1670</v>
      </c>
      <c r="E763" s="1">
        <v>5</v>
      </c>
      <c r="F763" s="5">
        <v>1.1000000000000001</v>
      </c>
      <c r="G763" s="5"/>
      <c r="H763" s="5">
        <v>0.2</v>
      </c>
      <c r="I763" s="14">
        <f>ROUND(E763*F763*H763,3)</f>
        <v>1.1000000000000001</v>
      </c>
      <c r="J763" s="6"/>
      <c r="K763" s="6"/>
      <c r="L763" s="6"/>
    </row>
    <row r="764" spans="1:24" hidden="1" x14ac:dyDescent="0.2">
      <c r="A764" s="6"/>
      <c r="B764" s="6"/>
      <c r="C764" s="10"/>
      <c r="D764" s="2" t="s">
        <v>1671</v>
      </c>
      <c r="E764" s="1">
        <v>3</v>
      </c>
      <c r="F764" s="5">
        <v>1.4</v>
      </c>
      <c r="G764" s="5">
        <v>0.28000000000000003</v>
      </c>
      <c r="H764" s="5"/>
      <c r="I764" s="14">
        <f>ROUND(E764*F764*G764,3)</f>
        <v>1.1759999999999999</v>
      </c>
      <c r="J764" s="6"/>
      <c r="K764" s="6"/>
      <c r="L764" s="6"/>
    </row>
    <row r="765" spans="1:24" hidden="1" x14ac:dyDescent="0.2">
      <c r="A765" s="6"/>
      <c r="B765" s="6"/>
      <c r="C765" s="10"/>
      <c r="D765" s="2" t="s">
        <v>1672</v>
      </c>
      <c r="E765" s="1">
        <v>4</v>
      </c>
      <c r="F765" s="5">
        <v>1.4</v>
      </c>
      <c r="G765" s="5"/>
      <c r="H765" s="5">
        <v>0.2</v>
      </c>
      <c r="I765" s="14">
        <f>ROUND(E765*F765*H765,3)</f>
        <v>1.1200000000000001</v>
      </c>
      <c r="J765" s="16">
        <f>SUM(I758:I765)</f>
        <v>10.408000000000001</v>
      </c>
      <c r="K765" s="6"/>
      <c r="L765" s="6"/>
    </row>
    <row r="766" spans="1:24" ht="15.4" hidden="1" customHeight="1" x14ac:dyDescent="0.2">
      <c r="A766" s="3" t="s">
        <v>1673</v>
      </c>
      <c r="B766" s="2" t="s">
        <v>1674</v>
      </c>
      <c r="C766" s="45" t="s">
        <v>1675</v>
      </c>
      <c r="D766" s="45"/>
      <c r="E766" s="45"/>
      <c r="F766" s="45"/>
      <c r="G766" s="45"/>
      <c r="H766" s="45"/>
      <c r="I766" s="45"/>
      <c r="J766" s="4">
        <f>ROUND(13,2)</f>
        <v>13</v>
      </c>
      <c r="K766" s="5">
        <f>ROUND(0*(1+L2/100),2)</f>
        <v>0</v>
      </c>
      <c r="L766" s="5">
        <f>ROUND(J766*K766,2)</f>
        <v>0</v>
      </c>
      <c r="T766" s="58" t="s">
        <v>2184</v>
      </c>
    </row>
    <row r="767" spans="1:24" ht="42" hidden="1" customHeight="1" x14ac:dyDescent="0.2">
      <c r="A767" s="6"/>
      <c r="B767" s="6"/>
      <c r="C767" s="45" t="s">
        <v>1676</v>
      </c>
      <c r="D767" s="45"/>
      <c r="E767" s="45"/>
      <c r="F767" s="45"/>
      <c r="G767" s="45"/>
      <c r="H767" s="45"/>
      <c r="I767" s="45"/>
      <c r="J767" s="45"/>
      <c r="K767" s="45"/>
      <c r="L767" s="45"/>
      <c r="T767" s="58" t="s">
        <v>2184</v>
      </c>
    </row>
    <row r="768" spans="1:24" ht="15.4" hidden="1" customHeight="1" x14ac:dyDescent="0.2">
      <c r="A768" s="3" t="s">
        <v>1677</v>
      </c>
      <c r="B768" s="2" t="s">
        <v>1678</v>
      </c>
      <c r="C768" s="45" t="s">
        <v>1679</v>
      </c>
      <c r="D768" s="45"/>
      <c r="E768" s="45"/>
      <c r="F768" s="45"/>
      <c r="G768" s="45"/>
      <c r="H768" s="45"/>
      <c r="I768" s="45"/>
      <c r="J768" s="4">
        <f>SUM(J771:J774)</f>
        <v>19</v>
      </c>
      <c r="K768" s="5">
        <f>ROUND(0*(1+L2/100),2)</f>
        <v>0</v>
      </c>
      <c r="L768" s="5">
        <f>ROUND(J768*K768,2)</f>
        <v>0</v>
      </c>
    </row>
    <row r="769" spans="1:30" ht="53.25" hidden="1" customHeight="1" x14ac:dyDescent="0.2">
      <c r="A769" s="6"/>
      <c r="B769" s="6"/>
      <c r="C769" s="45" t="s">
        <v>1680</v>
      </c>
      <c r="D769" s="45"/>
      <c r="E769" s="45"/>
      <c r="F769" s="45"/>
      <c r="G769" s="45"/>
      <c r="H769" s="45"/>
      <c r="I769" s="45"/>
      <c r="J769" s="45"/>
      <c r="K769" s="45"/>
      <c r="L769" s="45"/>
    </row>
    <row r="770" spans="1:30" hidden="1" x14ac:dyDescent="0.2">
      <c r="A770" s="6"/>
      <c r="B770" s="6"/>
      <c r="C770" s="6"/>
      <c r="D770" s="7"/>
      <c r="E770" s="9" t="s">
        <v>1681</v>
      </c>
      <c r="F770" s="9" t="s">
        <v>1682</v>
      </c>
      <c r="G770" s="9" t="s">
        <v>1683</v>
      </c>
      <c r="H770" s="9" t="s">
        <v>1684</v>
      </c>
      <c r="I770" s="9" t="s">
        <v>1685</v>
      </c>
      <c r="J770" s="9" t="s">
        <v>1686</v>
      </c>
      <c r="K770" s="6"/>
      <c r="L770" s="6"/>
    </row>
    <row r="771" spans="1:30" ht="22.5" hidden="1" x14ac:dyDescent="0.2">
      <c r="A771" s="6"/>
      <c r="B771" s="6"/>
      <c r="C771" s="10"/>
      <c r="D771" s="11" t="s">
        <v>1687</v>
      </c>
      <c r="E771" s="12">
        <v>4</v>
      </c>
      <c r="F771" s="13">
        <v>1.5</v>
      </c>
      <c r="G771" s="13"/>
      <c r="H771" s="13"/>
      <c r="I771" s="15">
        <f>ROUND(E771*F771,3)</f>
        <v>6</v>
      </c>
      <c r="J771" s="18"/>
      <c r="K771" s="6"/>
      <c r="L771" s="6"/>
    </row>
    <row r="772" spans="1:30" ht="22.5" hidden="1" x14ac:dyDescent="0.2">
      <c r="A772" s="6"/>
      <c r="B772" s="6"/>
      <c r="C772" s="10"/>
      <c r="D772" s="2" t="s">
        <v>1688</v>
      </c>
      <c r="E772" s="1">
        <v>4</v>
      </c>
      <c r="F772" s="5">
        <v>1.1499999999999999</v>
      </c>
      <c r="G772" s="5"/>
      <c r="H772" s="5"/>
      <c r="I772" s="14">
        <f>ROUND(E772*F772,3)</f>
        <v>4.5999999999999996</v>
      </c>
      <c r="J772" s="6"/>
      <c r="K772" s="6"/>
      <c r="L772" s="6"/>
    </row>
    <row r="773" spans="1:30" hidden="1" x14ac:dyDescent="0.2">
      <c r="A773" s="6"/>
      <c r="B773" s="6"/>
      <c r="C773" s="10"/>
      <c r="D773" s="2" t="s">
        <v>1689</v>
      </c>
      <c r="E773" s="1">
        <v>3</v>
      </c>
      <c r="F773" s="5">
        <v>1.4</v>
      </c>
      <c r="G773" s="5"/>
      <c r="H773" s="5"/>
      <c r="I773" s="14">
        <f>ROUND(E773*F773,3)</f>
        <v>4.2</v>
      </c>
      <c r="J773" s="6"/>
      <c r="K773" s="6"/>
      <c r="L773" s="6"/>
    </row>
    <row r="774" spans="1:30" ht="22.5" hidden="1" x14ac:dyDescent="0.2">
      <c r="A774" s="6"/>
      <c r="B774" s="6"/>
      <c r="C774" s="10"/>
      <c r="D774" s="2" t="s">
        <v>1690</v>
      </c>
      <c r="E774" s="1">
        <v>2</v>
      </c>
      <c r="F774" s="5">
        <v>2.1</v>
      </c>
      <c r="G774" s="5"/>
      <c r="H774" s="5"/>
      <c r="I774" s="14">
        <f>ROUND(E774*F774,3)</f>
        <v>4.2</v>
      </c>
      <c r="J774" s="16">
        <f>SUM(I771:I774)</f>
        <v>19</v>
      </c>
      <c r="K774" s="6"/>
      <c r="L774" s="6"/>
    </row>
    <row r="775" spans="1:30" ht="15.4" hidden="1" customHeight="1" x14ac:dyDescent="0.2">
      <c r="A775" s="3" t="s">
        <v>1691</v>
      </c>
      <c r="B775" s="2" t="s">
        <v>1692</v>
      </c>
      <c r="C775" s="45" t="s">
        <v>1693</v>
      </c>
      <c r="D775" s="45"/>
      <c r="E775" s="45"/>
      <c r="F775" s="45"/>
      <c r="G775" s="45"/>
      <c r="H775" s="45"/>
      <c r="I775" s="45"/>
      <c r="J775" s="4">
        <f>SUM(J778:J781)</f>
        <v>11.15</v>
      </c>
      <c r="K775" s="5">
        <f>ROUND(0*(1+L2/100),2)</f>
        <v>0</v>
      </c>
      <c r="L775" s="5">
        <f>ROUND(J775*K775,2)</f>
        <v>0</v>
      </c>
      <c r="O775" s="58" t="s">
        <v>2179</v>
      </c>
      <c r="Q775" s="58" t="s">
        <v>2181</v>
      </c>
    </row>
    <row r="776" spans="1:30" ht="86.25" hidden="1" customHeight="1" x14ac:dyDescent="0.2">
      <c r="A776" s="6"/>
      <c r="B776" s="6"/>
      <c r="C776" s="45" t="s">
        <v>1694</v>
      </c>
      <c r="D776" s="45"/>
      <c r="E776" s="45"/>
      <c r="F776" s="45"/>
      <c r="G776" s="45"/>
      <c r="H776" s="45"/>
      <c r="I776" s="45"/>
      <c r="J776" s="45"/>
      <c r="K776" s="45"/>
      <c r="L776" s="45"/>
      <c r="O776" s="58" t="s">
        <v>2179</v>
      </c>
      <c r="Q776" s="58" t="s">
        <v>2181</v>
      </c>
    </row>
    <row r="777" spans="1:30" hidden="1" x14ac:dyDescent="0.2">
      <c r="A777" s="6"/>
      <c r="B777" s="6"/>
      <c r="C777" s="6"/>
      <c r="D777" s="7"/>
      <c r="E777" s="9" t="s">
        <v>1695</v>
      </c>
      <c r="F777" s="9" t="s">
        <v>1696</v>
      </c>
      <c r="G777" s="9" t="s">
        <v>1697</v>
      </c>
      <c r="H777" s="9" t="s">
        <v>1698</v>
      </c>
      <c r="I777" s="9" t="s">
        <v>1699</v>
      </c>
      <c r="J777" s="9" t="s">
        <v>1700</v>
      </c>
      <c r="K777" s="6"/>
      <c r="L777" s="6"/>
      <c r="O777" s="58" t="s">
        <v>2179</v>
      </c>
      <c r="Q777" s="58" t="s">
        <v>2181</v>
      </c>
    </row>
    <row r="778" spans="1:30" ht="22.5" hidden="1" x14ac:dyDescent="0.2">
      <c r="A778" s="6"/>
      <c r="B778" s="6"/>
      <c r="C778" s="10"/>
      <c r="D778" s="11" t="s">
        <v>1701</v>
      </c>
      <c r="E778" s="12">
        <v>3.6</v>
      </c>
      <c r="F778" s="13"/>
      <c r="G778" s="13"/>
      <c r="H778" s="13"/>
      <c r="I778" s="15">
        <f>ROUND(E778,3)</f>
        <v>3.6</v>
      </c>
      <c r="J778" s="18"/>
      <c r="K778" s="6"/>
      <c r="L778" s="6"/>
      <c r="O778" s="58" t="s">
        <v>2179</v>
      </c>
      <c r="Q778" s="58" t="s">
        <v>2181</v>
      </c>
    </row>
    <row r="779" spans="1:30" ht="22.5" hidden="1" x14ac:dyDescent="0.2">
      <c r="A779" s="6"/>
      <c r="B779" s="6"/>
      <c r="C779" s="10"/>
      <c r="D779" s="2" t="s">
        <v>1702</v>
      </c>
      <c r="E779" s="1">
        <v>3.6</v>
      </c>
      <c r="F779" s="5"/>
      <c r="G779" s="5"/>
      <c r="H779" s="5"/>
      <c r="I779" s="14">
        <f>ROUND(E779,3)</f>
        <v>3.6</v>
      </c>
      <c r="J779" s="6"/>
      <c r="K779" s="6"/>
      <c r="L779" s="6"/>
      <c r="O779" s="58" t="s">
        <v>2179</v>
      </c>
      <c r="Q779" s="58" t="s">
        <v>2181</v>
      </c>
    </row>
    <row r="780" spans="1:30" ht="22.5" hidden="1" x14ac:dyDescent="0.2">
      <c r="A780" s="6"/>
      <c r="B780" s="6"/>
      <c r="C780" s="10"/>
      <c r="D780" s="2" t="s">
        <v>1703</v>
      </c>
      <c r="E780" s="1">
        <v>3.1</v>
      </c>
      <c r="F780" s="5"/>
      <c r="G780" s="5"/>
      <c r="H780" s="5"/>
      <c r="I780" s="14">
        <f>ROUND(E780,3)</f>
        <v>3.1</v>
      </c>
      <c r="J780" s="6"/>
      <c r="K780" s="6"/>
      <c r="L780" s="6"/>
      <c r="O780" s="58" t="s">
        <v>2179</v>
      </c>
      <c r="Q780" s="58" t="s">
        <v>2181</v>
      </c>
    </row>
    <row r="781" spans="1:30" ht="22.5" hidden="1" x14ac:dyDescent="0.2">
      <c r="A781" s="6"/>
      <c r="B781" s="6"/>
      <c r="C781" s="10"/>
      <c r="D781" s="2" t="s">
        <v>1704</v>
      </c>
      <c r="E781" s="1">
        <v>0.85</v>
      </c>
      <c r="F781" s="5"/>
      <c r="G781" s="5"/>
      <c r="H781" s="5"/>
      <c r="I781" s="14">
        <f>ROUND(E781,3)</f>
        <v>0.85</v>
      </c>
      <c r="J781" s="16">
        <f>SUM(I778:I781)</f>
        <v>11.15</v>
      </c>
      <c r="K781" s="6"/>
      <c r="L781" s="6"/>
      <c r="O781" s="58" t="s">
        <v>2179</v>
      </c>
      <c r="Q781" s="58" t="s">
        <v>2181</v>
      </c>
    </row>
    <row r="782" spans="1:30" ht="15.4" hidden="1" customHeight="1" x14ac:dyDescent="0.2">
      <c r="A782" s="37" t="s">
        <v>1705</v>
      </c>
      <c r="B782" s="34"/>
      <c r="C782" s="46" t="s">
        <v>1706</v>
      </c>
      <c r="D782" s="46"/>
      <c r="E782" s="46"/>
      <c r="F782" s="46"/>
      <c r="G782" s="46"/>
      <c r="H782" s="46"/>
      <c r="I782" s="46"/>
      <c r="J782" s="34"/>
      <c r="K782" s="35">
        <v>0</v>
      </c>
      <c r="L782" s="35">
        <f>ROUND(K782,2)</f>
        <v>0</v>
      </c>
      <c r="AD782" s="58" t="s">
        <v>2194</v>
      </c>
    </row>
    <row r="783" spans="1:30" ht="15.4" hidden="1" customHeight="1" x14ac:dyDescent="0.2">
      <c r="A783" s="3" t="s">
        <v>1707</v>
      </c>
      <c r="B783" s="2" t="s">
        <v>1708</v>
      </c>
      <c r="C783" s="45" t="s">
        <v>1709</v>
      </c>
      <c r="D783" s="45"/>
      <c r="E783" s="45"/>
      <c r="F783" s="45"/>
      <c r="G783" s="45"/>
      <c r="H783" s="45"/>
      <c r="I783" s="45"/>
      <c r="J783" s="4">
        <f>SUM(J786:J796)</f>
        <v>274.11500000000001</v>
      </c>
      <c r="K783" s="5">
        <f>ROUND(0*(1+L2/100),2)</f>
        <v>0</v>
      </c>
      <c r="L783" s="5">
        <f>ROUND(J783*K783,2)</f>
        <v>0</v>
      </c>
      <c r="AD783" s="58" t="s">
        <v>2194</v>
      </c>
    </row>
    <row r="784" spans="1:30" ht="41.25" hidden="1" customHeight="1" x14ac:dyDescent="0.2">
      <c r="A784" s="6"/>
      <c r="B784" s="6"/>
      <c r="C784" s="45" t="s">
        <v>1710</v>
      </c>
      <c r="D784" s="45"/>
      <c r="E784" s="45"/>
      <c r="F784" s="45"/>
      <c r="G784" s="45"/>
      <c r="H784" s="45"/>
      <c r="I784" s="45"/>
      <c r="J784" s="45"/>
      <c r="K784" s="45"/>
      <c r="L784" s="45"/>
      <c r="AD784" s="58" t="s">
        <v>2194</v>
      </c>
    </row>
    <row r="785" spans="1:30" ht="15.2" hidden="1" customHeight="1" x14ac:dyDescent="0.2">
      <c r="A785" s="6"/>
      <c r="B785" s="6"/>
      <c r="C785" s="6"/>
      <c r="D785" s="7"/>
      <c r="E785" s="9" t="s">
        <v>1711</v>
      </c>
      <c r="F785" s="9" t="s">
        <v>1712</v>
      </c>
      <c r="G785" s="9" t="s">
        <v>1713</v>
      </c>
      <c r="H785" s="9" t="s">
        <v>1714</v>
      </c>
      <c r="I785" s="9" t="s">
        <v>1715</v>
      </c>
      <c r="J785" s="9" t="s">
        <v>1716</v>
      </c>
      <c r="K785" s="6"/>
      <c r="L785" s="6"/>
      <c r="AD785" s="58" t="s">
        <v>2194</v>
      </c>
    </row>
    <row r="786" spans="1:30" ht="22.5" hidden="1" x14ac:dyDescent="0.2">
      <c r="A786" s="6"/>
      <c r="B786" s="6"/>
      <c r="C786" s="10"/>
      <c r="D786" s="11" t="s">
        <v>1717</v>
      </c>
      <c r="E786" s="12"/>
      <c r="F786" s="13"/>
      <c r="G786" s="13"/>
      <c r="H786" s="13"/>
      <c r="I786" s="19" t="s">
        <v>1718</v>
      </c>
      <c r="J786" s="18"/>
      <c r="K786" s="6"/>
      <c r="L786" s="6"/>
      <c r="AD786" s="58" t="s">
        <v>2194</v>
      </c>
    </row>
    <row r="787" spans="1:30" ht="22.5" hidden="1" x14ac:dyDescent="0.2">
      <c r="A787" s="6"/>
      <c r="B787" s="6"/>
      <c r="C787" s="10"/>
      <c r="D787" s="2" t="s">
        <v>1719</v>
      </c>
      <c r="E787" s="1">
        <v>1</v>
      </c>
      <c r="F787" s="5">
        <v>10.35</v>
      </c>
      <c r="G787" s="5"/>
      <c r="H787" s="5">
        <v>3.3</v>
      </c>
      <c r="I787" s="14">
        <f>ROUND(E787*F787*H787,3)</f>
        <v>34.155000000000001</v>
      </c>
      <c r="J787" s="6"/>
      <c r="K787" s="6"/>
      <c r="L787" s="6"/>
      <c r="AD787" s="58" t="s">
        <v>2194</v>
      </c>
    </row>
    <row r="788" spans="1:30" hidden="1" x14ac:dyDescent="0.2">
      <c r="A788" s="6"/>
      <c r="B788" s="6"/>
      <c r="C788" s="10"/>
      <c r="D788" s="2" t="s">
        <v>1720</v>
      </c>
      <c r="E788" s="1">
        <v>1</v>
      </c>
      <c r="F788" s="5">
        <v>9.1999999999999993</v>
      </c>
      <c r="G788" s="5"/>
      <c r="H788" s="5">
        <v>3.3</v>
      </c>
      <c r="I788" s="14">
        <f>ROUND(E788*F788*H788,3)</f>
        <v>30.36</v>
      </c>
      <c r="J788" s="6"/>
      <c r="K788" s="6"/>
      <c r="L788" s="6"/>
      <c r="AD788" s="58" t="s">
        <v>2194</v>
      </c>
    </row>
    <row r="789" spans="1:30" ht="22.5" hidden="1" x14ac:dyDescent="0.2">
      <c r="A789" s="6"/>
      <c r="B789" s="6"/>
      <c r="C789" s="10"/>
      <c r="D789" s="2" t="s">
        <v>1721</v>
      </c>
      <c r="E789" s="1">
        <v>1</v>
      </c>
      <c r="F789" s="5">
        <v>4.8499999999999996</v>
      </c>
      <c r="G789" s="5"/>
      <c r="H789" s="5">
        <v>2.6</v>
      </c>
      <c r="I789" s="14">
        <f>ROUND(E789*F789*H789,3)</f>
        <v>12.61</v>
      </c>
      <c r="J789" s="6"/>
      <c r="K789" s="6"/>
      <c r="L789" s="6"/>
      <c r="AD789" s="58" t="s">
        <v>2194</v>
      </c>
    </row>
    <row r="790" spans="1:30" ht="22.5" hidden="1" x14ac:dyDescent="0.2">
      <c r="A790" s="6"/>
      <c r="B790" s="6"/>
      <c r="C790" s="10"/>
      <c r="D790" s="2" t="s">
        <v>1722</v>
      </c>
      <c r="E790" s="1">
        <v>1</v>
      </c>
      <c r="F790" s="5">
        <v>2.1</v>
      </c>
      <c r="G790" s="5"/>
      <c r="H790" s="5">
        <v>2.6</v>
      </c>
      <c r="I790" s="14">
        <f>ROUND(E790*F790*H790,3)</f>
        <v>5.46</v>
      </c>
      <c r="J790" s="6"/>
      <c r="K790" s="6"/>
      <c r="L790" s="6"/>
      <c r="AD790" s="58" t="s">
        <v>2194</v>
      </c>
    </row>
    <row r="791" spans="1:30" hidden="1" x14ac:dyDescent="0.2">
      <c r="A791" s="6"/>
      <c r="B791" s="6"/>
      <c r="C791" s="10"/>
      <c r="D791" s="2" t="s">
        <v>1723</v>
      </c>
      <c r="E791" s="1"/>
      <c r="F791" s="5"/>
      <c r="G791" s="5"/>
      <c r="H791" s="5"/>
      <c r="I791" s="8" t="s">
        <v>1724</v>
      </c>
      <c r="J791" s="6"/>
      <c r="K791" s="6"/>
      <c r="L791" s="6"/>
      <c r="AD791" s="58" t="s">
        <v>2194</v>
      </c>
    </row>
    <row r="792" spans="1:30" hidden="1" x14ac:dyDescent="0.2">
      <c r="A792" s="6"/>
      <c r="B792" s="6"/>
      <c r="C792" s="10"/>
      <c r="D792" s="2" t="s">
        <v>1725</v>
      </c>
      <c r="E792" s="1">
        <v>2</v>
      </c>
      <c r="F792" s="5">
        <v>10.45</v>
      </c>
      <c r="G792" s="5"/>
      <c r="H792" s="5">
        <v>4.2</v>
      </c>
      <c r="I792" s="14">
        <f>ROUND(E792*F792*H792,3)</f>
        <v>87.78</v>
      </c>
      <c r="J792" s="6"/>
      <c r="K792" s="6"/>
      <c r="L792" s="6"/>
      <c r="AD792" s="58" t="s">
        <v>2194</v>
      </c>
    </row>
    <row r="793" spans="1:30" hidden="1" x14ac:dyDescent="0.2">
      <c r="A793" s="6"/>
      <c r="B793" s="6"/>
      <c r="C793" s="10"/>
      <c r="D793" s="2" t="s">
        <v>1726</v>
      </c>
      <c r="E793" s="1">
        <v>2</v>
      </c>
      <c r="F793" s="5">
        <v>9.3000000000000007</v>
      </c>
      <c r="G793" s="5"/>
      <c r="H793" s="5">
        <v>4.2</v>
      </c>
      <c r="I793" s="14">
        <f>ROUND(E793*F793*H793,3)</f>
        <v>78.12</v>
      </c>
      <c r="J793" s="6"/>
      <c r="K793" s="6"/>
      <c r="L793" s="6"/>
      <c r="AD793" s="58" t="s">
        <v>2194</v>
      </c>
    </row>
    <row r="794" spans="1:30" ht="22.5" hidden="1" x14ac:dyDescent="0.2">
      <c r="A794" s="6"/>
      <c r="B794" s="6"/>
      <c r="C794" s="10"/>
      <c r="D794" s="2" t="s">
        <v>1727</v>
      </c>
      <c r="E794" s="1">
        <v>1</v>
      </c>
      <c r="F794" s="5">
        <v>14.68</v>
      </c>
      <c r="G794" s="5"/>
      <c r="H794" s="5"/>
      <c r="I794" s="14">
        <f>ROUND(E794*F794,3)</f>
        <v>14.68</v>
      </c>
      <c r="J794" s="6"/>
      <c r="K794" s="6"/>
      <c r="L794" s="6"/>
      <c r="AD794" s="58" t="s">
        <v>2194</v>
      </c>
    </row>
    <row r="795" spans="1:30" hidden="1" x14ac:dyDescent="0.2">
      <c r="A795" s="6"/>
      <c r="B795" s="6"/>
      <c r="C795" s="10"/>
      <c r="D795" s="2" t="s">
        <v>1728</v>
      </c>
      <c r="E795" s="1">
        <v>1</v>
      </c>
      <c r="F795" s="5">
        <v>8.5500000000000007</v>
      </c>
      <c r="G795" s="5"/>
      <c r="H795" s="5"/>
      <c r="I795" s="14">
        <f>ROUND(E795*F795,3)</f>
        <v>8.5500000000000007</v>
      </c>
      <c r="J795" s="6"/>
      <c r="K795" s="6"/>
      <c r="L795" s="6"/>
      <c r="AD795" s="58" t="s">
        <v>2194</v>
      </c>
    </row>
    <row r="796" spans="1:30" ht="22.5" hidden="1" x14ac:dyDescent="0.2">
      <c r="A796" s="6"/>
      <c r="B796" s="6"/>
      <c r="C796" s="10"/>
      <c r="D796" s="2" t="s">
        <v>1729</v>
      </c>
      <c r="E796" s="1">
        <v>1</v>
      </c>
      <c r="F796" s="5">
        <v>2.4</v>
      </c>
      <c r="G796" s="5"/>
      <c r="H796" s="5"/>
      <c r="I796" s="14">
        <f>ROUND(E796*F796,3)</f>
        <v>2.4</v>
      </c>
      <c r="J796" s="16">
        <f>SUM(I786:I796)</f>
        <v>274.11500000000001</v>
      </c>
      <c r="K796" s="6"/>
      <c r="L796" s="6"/>
      <c r="AD796" s="58" t="s">
        <v>2194</v>
      </c>
    </row>
    <row r="797" spans="1:30" ht="15.4" hidden="1" customHeight="1" x14ac:dyDescent="0.2">
      <c r="A797" s="37" t="s">
        <v>1730</v>
      </c>
      <c r="B797" s="34"/>
      <c r="C797" s="46" t="s">
        <v>1731</v>
      </c>
      <c r="D797" s="46"/>
      <c r="E797" s="46"/>
      <c r="F797" s="46"/>
      <c r="G797" s="46"/>
      <c r="H797" s="46"/>
      <c r="I797" s="46"/>
      <c r="J797" s="34"/>
      <c r="K797" s="35">
        <v>0</v>
      </c>
      <c r="L797" s="35">
        <f>ROUND(K797,2)</f>
        <v>0</v>
      </c>
      <c r="AD797" s="58" t="s">
        <v>2194</v>
      </c>
    </row>
    <row r="798" spans="1:30" ht="15.4" hidden="1" customHeight="1" x14ac:dyDescent="0.2">
      <c r="A798" s="3" t="s">
        <v>1732</v>
      </c>
      <c r="B798" s="2" t="s">
        <v>1733</v>
      </c>
      <c r="C798" s="45" t="s">
        <v>1734</v>
      </c>
      <c r="D798" s="45"/>
      <c r="E798" s="45"/>
      <c r="F798" s="45"/>
      <c r="G798" s="45"/>
      <c r="H798" s="45"/>
      <c r="I798" s="45"/>
      <c r="J798" s="4">
        <f>SUM(J801:J802)</f>
        <v>172</v>
      </c>
      <c r="K798" s="5">
        <f>ROUND(0*(1+L2/100),2)</f>
        <v>0</v>
      </c>
      <c r="L798" s="5">
        <f>ROUND(J798*K798,2)</f>
        <v>0</v>
      </c>
      <c r="AD798" s="58" t="s">
        <v>2194</v>
      </c>
    </row>
    <row r="799" spans="1:30" ht="53.25" hidden="1" customHeight="1" x14ac:dyDescent="0.2">
      <c r="A799" s="6"/>
      <c r="B799" s="6"/>
      <c r="C799" s="45" t="s">
        <v>1735</v>
      </c>
      <c r="D799" s="45"/>
      <c r="E799" s="45"/>
      <c r="F799" s="45"/>
      <c r="G799" s="45"/>
      <c r="H799" s="45"/>
      <c r="I799" s="45"/>
      <c r="J799" s="45"/>
      <c r="K799" s="45"/>
      <c r="L799" s="45"/>
      <c r="AD799" s="58" t="s">
        <v>2194</v>
      </c>
    </row>
    <row r="800" spans="1:30" ht="15.2" hidden="1" customHeight="1" x14ac:dyDescent="0.2">
      <c r="A800" s="6"/>
      <c r="B800" s="6"/>
      <c r="C800" s="6"/>
      <c r="D800" s="7"/>
      <c r="E800" s="9" t="s">
        <v>1736</v>
      </c>
      <c r="F800" s="9" t="s">
        <v>1737</v>
      </c>
      <c r="G800" s="9" t="s">
        <v>1738</v>
      </c>
      <c r="H800" s="9" t="s">
        <v>1739</v>
      </c>
      <c r="I800" s="9" t="s">
        <v>1740</v>
      </c>
      <c r="J800" s="9" t="s">
        <v>1741</v>
      </c>
      <c r="K800" s="6"/>
      <c r="L800" s="6"/>
      <c r="AD800" s="58" t="s">
        <v>2194</v>
      </c>
    </row>
    <row r="801" spans="1:30" ht="22.5" hidden="1" x14ac:dyDescent="0.2">
      <c r="A801" s="6"/>
      <c r="B801" s="6"/>
      <c r="C801" s="10"/>
      <c r="D801" s="11" t="s">
        <v>1742</v>
      </c>
      <c r="E801" s="12">
        <v>75</v>
      </c>
      <c r="F801" s="13"/>
      <c r="G801" s="13"/>
      <c r="H801" s="13"/>
      <c r="I801" s="15">
        <f>ROUND(E801,3)</f>
        <v>75</v>
      </c>
      <c r="J801" s="18"/>
      <c r="K801" s="6"/>
      <c r="L801" s="6"/>
      <c r="AD801" s="58" t="s">
        <v>2194</v>
      </c>
    </row>
    <row r="802" spans="1:30" hidden="1" x14ac:dyDescent="0.2">
      <c r="A802" s="6"/>
      <c r="B802" s="6"/>
      <c r="C802" s="10"/>
      <c r="D802" s="2" t="s">
        <v>1743</v>
      </c>
      <c r="E802" s="1">
        <v>97</v>
      </c>
      <c r="F802" s="5"/>
      <c r="G802" s="5"/>
      <c r="H802" s="5"/>
      <c r="I802" s="14">
        <f>ROUND(E802,3)</f>
        <v>97</v>
      </c>
      <c r="J802" s="16">
        <f>SUM(I801:I802)</f>
        <v>172</v>
      </c>
      <c r="K802" s="6"/>
      <c r="L802" s="6"/>
      <c r="AD802" s="58" t="s">
        <v>2194</v>
      </c>
    </row>
    <row r="803" spans="1:30" ht="15.4" hidden="1" customHeight="1" x14ac:dyDescent="0.2">
      <c r="A803" s="3" t="s">
        <v>1744</v>
      </c>
      <c r="B803" s="2" t="s">
        <v>1745</v>
      </c>
      <c r="C803" s="45" t="s">
        <v>1746</v>
      </c>
      <c r="D803" s="45"/>
      <c r="E803" s="45"/>
      <c r="F803" s="45"/>
      <c r="G803" s="45"/>
      <c r="H803" s="45"/>
      <c r="I803" s="45"/>
      <c r="J803" s="4">
        <f>SUM(J806:J821)</f>
        <v>302.71899999999999</v>
      </c>
      <c r="K803" s="5">
        <f>ROUND(0*(1+L2/100),2)</f>
        <v>0</v>
      </c>
      <c r="L803" s="5">
        <f>ROUND(J803*K803,2)</f>
        <v>0</v>
      </c>
      <c r="AD803" s="58" t="s">
        <v>2194</v>
      </c>
    </row>
    <row r="804" spans="1:30" ht="51" hidden="1" customHeight="1" x14ac:dyDescent="0.2">
      <c r="A804" s="6"/>
      <c r="B804" s="6"/>
      <c r="C804" s="45" t="s">
        <v>1747</v>
      </c>
      <c r="D804" s="45"/>
      <c r="E804" s="45"/>
      <c r="F804" s="45"/>
      <c r="G804" s="45"/>
      <c r="H804" s="45"/>
      <c r="I804" s="45"/>
      <c r="J804" s="45"/>
      <c r="K804" s="45"/>
      <c r="L804" s="45"/>
      <c r="AD804" s="58" t="s">
        <v>2194</v>
      </c>
    </row>
    <row r="805" spans="1:30" ht="15.2" hidden="1" customHeight="1" x14ac:dyDescent="0.2">
      <c r="A805" s="6"/>
      <c r="B805" s="6"/>
      <c r="C805" s="6"/>
      <c r="D805" s="7"/>
      <c r="E805" s="9" t="s">
        <v>1748</v>
      </c>
      <c r="F805" s="9" t="s">
        <v>1749</v>
      </c>
      <c r="G805" s="9" t="s">
        <v>1750</v>
      </c>
      <c r="H805" s="9" t="s">
        <v>1751</v>
      </c>
      <c r="I805" s="9" t="s">
        <v>1752</v>
      </c>
      <c r="J805" s="9" t="s">
        <v>1753</v>
      </c>
      <c r="K805" s="6"/>
      <c r="L805" s="6"/>
      <c r="AD805" s="58" t="s">
        <v>2194</v>
      </c>
    </row>
    <row r="806" spans="1:30" ht="22.5" hidden="1" x14ac:dyDescent="0.2">
      <c r="A806" s="6"/>
      <c r="B806" s="6"/>
      <c r="C806" s="10"/>
      <c r="D806" s="11" t="s">
        <v>1754</v>
      </c>
      <c r="E806" s="12"/>
      <c r="F806" s="13"/>
      <c r="G806" s="13"/>
      <c r="H806" s="13"/>
      <c r="I806" s="19" t="s">
        <v>1755</v>
      </c>
      <c r="J806" s="18"/>
      <c r="K806" s="6"/>
      <c r="L806" s="6"/>
      <c r="AD806" s="58" t="s">
        <v>2194</v>
      </c>
    </row>
    <row r="807" spans="1:30" hidden="1" x14ac:dyDescent="0.2">
      <c r="A807" s="6"/>
      <c r="B807" s="6"/>
      <c r="C807" s="10"/>
      <c r="D807" s="2" t="s">
        <v>1756</v>
      </c>
      <c r="E807" s="1">
        <v>1</v>
      </c>
      <c r="F807" s="5">
        <v>8.2799999999999994</v>
      </c>
      <c r="G807" s="5"/>
      <c r="H807" s="5">
        <v>2.6</v>
      </c>
      <c r="I807" s="14">
        <f t="shared" ref="I807:I815" si="4">ROUND(E807*F807*H807,3)</f>
        <v>21.527999999999999</v>
      </c>
      <c r="J807" s="6"/>
      <c r="K807" s="6"/>
      <c r="L807" s="6"/>
      <c r="AD807" s="58" t="s">
        <v>2194</v>
      </c>
    </row>
    <row r="808" spans="1:30" hidden="1" x14ac:dyDescent="0.2">
      <c r="A808" s="6"/>
      <c r="B808" s="6"/>
      <c r="C808" s="10"/>
      <c r="D808" s="2" t="s">
        <v>1757</v>
      </c>
      <c r="E808" s="1">
        <v>1</v>
      </c>
      <c r="F808" s="5">
        <v>6.1</v>
      </c>
      <c r="G808" s="5"/>
      <c r="H808" s="5">
        <v>2.6</v>
      </c>
      <c r="I808" s="14">
        <f t="shared" si="4"/>
        <v>15.86</v>
      </c>
      <c r="J808" s="6"/>
      <c r="K808" s="6"/>
      <c r="L808" s="6"/>
      <c r="AD808" s="58" t="s">
        <v>2194</v>
      </c>
    </row>
    <row r="809" spans="1:30" hidden="1" x14ac:dyDescent="0.2">
      <c r="A809" s="6"/>
      <c r="B809" s="6"/>
      <c r="C809" s="10"/>
      <c r="D809" s="2" t="s">
        <v>1758</v>
      </c>
      <c r="E809" s="1">
        <v>1</v>
      </c>
      <c r="F809" s="5">
        <v>3.2</v>
      </c>
      <c r="G809" s="5"/>
      <c r="H809" s="5">
        <v>1.5</v>
      </c>
      <c r="I809" s="14">
        <f t="shared" si="4"/>
        <v>4.8</v>
      </c>
      <c r="J809" s="6"/>
      <c r="K809" s="6"/>
      <c r="L809" s="6"/>
      <c r="AD809" s="58" t="s">
        <v>2194</v>
      </c>
    </row>
    <row r="810" spans="1:30" hidden="1" x14ac:dyDescent="0.2">
      <c r="A810" s="6"/>
      <c r="B810" s="6"/>
      <c r="C810" s="10"/>
      <c r="D810" s="2" t="s">
        <v>1759</v>
      </c>
      <c r="E810" s="1">
        <v>1</v>
      </c>
      <c r="F810" s="5">
        <v>13.3</v>
      </c>
      <c r="G810" s="5"/>
      <c r="H810" s="5">
        <v>2.4</v>
      </c>
      <c r="I810" s="14">
        <f t="shared" si="4"/>
        <v>31.92</v>
      </c>
      <c r="J810" s="6"/>
      <c r="K810" s="6"/>
      <c r="L810" s="6"/>
      <c r="AD810" s="58" t="s">
        <v>2194</v>
      </c>
    </row>
    <row r="811" spans="1:30" hidden="1" x14ac:dyDescent="0.2">
      <c r="A811" s="6"/>
      <c r="B811" s="6"/>
      <c r="C811" s="10"/>
      <c r="D811" s="2" t="s">
        <v>1760</v>
      </c>
      <c r="E811" s="1">
        <v>1</v>
      </c>
      <c r="F811" s="5">
        <v>13.7</v>
      </c>
      <c r="G811" s="5"/>
      <c r="H811" s="5">
        <v>2.4</v>
      </c>
      <c r="I811" s="14">
        <f t="shared" si="4"/>
        <v>32.880000000000003</v>
      </c>
      <c r="J811" s="6"/>
      <c r="K811" s="6"/>
      <c r="L811" s="6"/>
      <c r="AD811" s="58" t="s">
        <v>2194</v>
      </c>
    </row>
    <row r="812" spans="1:30" hidden="1" x14ac:dyDescent="0.2">
      <c r="A812" s="6"/>
      <c r="B812" s="6"/>
      <c r="C812" s="10"/>
      <c r="D812" s="2" t="s">
        <v>1761</v>
      </c>
      <c r="E812" s="1">
        <v>1</v>
      </c>
      <c r="F812" s="5">
        <v>2.5</v>
      </c>
      <c r="G812" s="5"/>
      <c r="H812" s="5">
        <v>2.4</v>
      </c>
      <c r="I812" s="14">
        <f t="shared" si="4"/>
        <v>6</v>
      </c>
      <c r="J812" s="6"/>
      <c r="K812" s="6"/>
      <c r="L812" s="6"/>
      <c r="AD812" s="58" t="s">
        <v>2194</v>
      </c>
    </row>
    <row r="813" spans="1:30" hidden="1" x14ac:dyDescent="0.2">
      <c r="A813" s="6"/>
      <c r="B813" s="6"/>
      <c r="C813" s="10"/>
      <c r="D813" s="2" t="s">
        <v>1762</v>
      </c>
      <c r="E813" s="1">
        <v>1</v>
      </c>
      <c r="F813" s="5">
        <v>13.15</v>
      </c>
      <c r="G813" s="5"/>
      <c r="H813" s="5">
        <v>2.6</v>
      </c>
      <c r="I813" s="14">
        <f t="shared" si="4"/>
        <v>34.19</v>
      </c>
      <c r="J813" s="6"/>
      <c r="K813" s="6"/>
      <c r="L813" s="6"/>
      <c r="AD813" s="58" t="s">
        <v>2194</v>
      </c>
    </row>
    <row r="814" spans="1:30" ht="22.5" hidden="1" x14ac:dyDescent="0.2">
      <c r="A814" s="6"/>
      <c r="B814" s="6"/>
      <c r="C814" s="10"/>
      <c r="D814" s="2" t="s">
        <v>1763</v>
      </c>
      <c r="E814" s="1">
        <v>1</v>
      </c>
      <c r="F814" s="5">
        <v>4.8</v>
      </c>
      <c r="G814" s="5"/>
      <c r="H814" s="5">
        <v>2.6</v>
      </c>
      <c r="I814" s="14">
        <f t="shared" si="4"/>
        <v>12.48</v>
      </c>
      <c r="J814" s="6"/>
      <c r="K814" s="6"/>
      <c r="L814" s="6"/>
      <c r="AD814" s="58" t="s">
        <v>2194</v>
      </c>
    </row>
    <row r="815" spans="1:30" hidden="1" x14ac:dyDescent="0.2">
      <c r="A815" s="6"/>
      <c r="B815" s="6"/>
      <c r="C815" s="10"/>
      <c r="D815" s="2" t="s">
        <v>1764</v>
      </c>
      <c r="E815" s="1">
        <v>1</v>
      </c>
      <c r="F815" s="5">
        <v>3.9</v>
      </c>
      <c r="G815" s="5"/>
      <c r="H815" s="5">
        <v>2.6</v>
      </c>
      <c r="I815" s="14">
        <f t="shared" si="4"/>
        <v>10.14</v>
      </c>
      <c r="J815" s="6"/>
      <c r="K815" s="6"/>
      <c r="L815" s="6"/>
      <c r="AD815" s="58" t="s">
        <v>2194</v>
      </c>
    </row>
    <row r="816" spans="1:30" hidden="1" x14ac:dyDescent="0.2">
      <c r="A816" s="6"/>
      <c r="B816" s="6"/>
      <c r="C816" s="10"/>
      <c r="D816" s="2" t="s">
        <v>1765</v>
      </c>
      <c r="E816" s="1"/>
      <c r="F816" s="5"/>
      <c r="G816" s="5"/>
      <c r="H816" s="5"/>
      <c r="I816" s="8" t="s">
        <v>1766</v>
      </c>
      <c r="J816" s="6"/>
      <c r="K816" s="6"/>
      <c r="L816" s="6"/>
      <c r="AD816" s="58" t="s">
        <v>2194</v>
      </c>
    </row>
    <row r="817" spans="1:31" hidden="1" x14ac:dyDescent="0.2">
      <c r="A817" s="6"/>
      <c r="B817" s="6"/>
      <c r="C817" s="10"/>
      <c r="D817" s="2" t="s">
        <v>1767</v>
      </c>
      <c r="E817" s="1">
        <v>1</v>
      </c>
      <c r="F817" s="5">
        <v>3.33</v>
      </c>
      <c r="G817" s="5"/>
      <c r="H817" s="5">
        <v>2.7</v>
      </c>
      <c r="I817" s="14">
        <f>ROUND(E817*F817*H817,3)</f>
        <v>8.9909999999999997</v>
      </c>
      <c r="J817" s="6"/>
      <c r="K817" s="6"/>
      <c r="L817" s="6"/>
      <c r="AD817" s="58" t="s">
        <v>2194</v>
      </c>
    </row>
    <row r="818" spans="1:31" hidden="1" x14ac:dyDescent="0.2">
      <c r="A818" s="6"/>
      <c r="B818" s="6"/>
      <c r="C818" s="10"/>
      <c r="D818" s="2" t="s">
        <v>1768</v>
      </c>
      <c r="E818" s="1">
        <v>1</v>
      </c>
      <c r="F818" s="5">
        <v>4.9000000000000004</v>
      </c>
      <c r="G818" s="5"/>
      <c r="H818" s="5">
        <v>2.7</v>
      </c>
      <c r="I818" s="14">
        <f>ROUND(E818*F818*H818,3)</f>
        <v>13.23</v>
      </c>
      <c r="J818" s="6"/>
      <c r="K818" s="6"/>
      <c r="L818" s="6"/>
      <c r="AD818" s="58" t="s">
        <v>2194</v>
      </c>
    </row>
    <row r="819" spans="1:31" hidden="1" x14ac:dyDescent="0.2">
      <c r="A819" s="6"/>
      <c r="B819" s="6"/>
      <c r="C819" s="10"/>
      <c r="D819" s="2" t="s">
        <v>1769</v>
      </c>
      <c r="E819" s="1">
        <v>1</v>
      </c>
      <c r="F819" s="5">
        <v>16</v>
      </c>
      <c r="G819" s="5"/>
      <c r="H819" s="5">
        <v>2.7</v>
      </c>
      <c r="I819" s="14">
        <f>ROUND(E819*F819*H819,3)</f>
        <v>43.2</v>
      </c>
      <c r="J819" s="6"/>
      <c r="K819" s="6"/>
      <c r="L819" s="6"/>
      <c r="AD819" s="58" t="s">
        <v>2194</v>
      </c>
    </row>
    <row r="820" spans="1:31" hidden="1" x14ac:dyDescent="0.2">
      <c r="A820" s="6"/>
      <c r="B820" s="6"/>
      <c r="C820" s="10"/>
      <c r="D820" s="2" t="s">
        <v>1770</v>
      </c>
      <c r="E820" s="1">
        <v>1</v>
      </c>
      <c r="F820" s="5">
        <v>13.75</v>
      </c>
      <c r="G820" s="5"/>
      <c r="H820" s="5">
        <v>2.7</v>
      </c>
      <c r="I820" s="14">
        <f>ROUND(E820*F820*H820,3)</f>
        <v>37.125</v>
      </c>
      <c r="J820" s="6"/>
      <c r="K820" s="6"/>
      <c r="L820" s="6"/>
      <c r="AD820" s="58" t="s">
        <v>2194</v>
      </c>
    </row>
    <row r="821" spans="1:31" hidden="1" x14ac:dyDescent="0.2">
      <c r="A821" s="6"/>
      <c r="B821" s="6"/>
      <c r="C821" s="10"/>
      <c r="D821" s="2" t="s">
        <v>1771</v>
      </c>
      <c r="E821" s="1">
        <v>1</v>
      </c>
      <c r="F821" s="5">
        <v>11.25</v>
      </c>
      <c r="G821" s="5"/>
      <c r="H821" s="5">
        <v>2.7</v>
      </c>
      <c r="I821" s="14">
        <f>ROUND(E821*F821*H821,3)</f>
        <v>30.375</v>
      </c>
      <c r="J821" s="16">
        <f>SUM(I806:I821)</f>
        <v>302.71899999999999</v>
      </c>
      <c r="K821" s="6"/>
      <c r="L821" s="6"/>
      <c r="AD821" s="58" t="s">
        <v>2194</v>
      </c>
    </row>
    <row r="822" spans="1:31" ht="15.4" hidden="1" customHeight="1" x14ac:dyDescent="0.2">
      <c r="A822" s="37" t="s">
        <v>1772</v>
      </c>
      <c r="B822" s="34"/>
      <c r="C822" s="46" t="s">
        <v>1773</v>
      </c>
      <c r="D822" s="46"/>
      <c r="E822" s="46"/>
      <c r="F822" s="46"/>
      <c r="G822" s="46"/>
      <c r="H822" s="46"/>
      <c r="I822" s="46"/>
      <c r="J822" s="34"/>
      <c r="K822" s="35">
        <v>0</v>
      </c>
      <c r="L822" s="35">
        <f>ROUND(K822,2)</f>
        <v>0</v>
      </c>
      <c r="AE822" s="58" t="s">
        <v>2195</v>
      </c>
    </row>
    <row r="823" spans="1:31" ht="15.4" hidden="1" customHeight="1" x14ac:dyDescent="0.2">
      <c r="A823" s="3" t="s">
        <v>1774</v>
      </c>
      <c r="B823" s="2" t="s">
        <v>1775</v>
      </c>
      <c r="C823" s="45" t="s">
        <v>1776</v>
      </c>
      <c r="D823" s="45"/>
      <c r="E823" s="45"/>
      <c r="F823" s="45"/>
      <c r="G823" s="45"/>
      <c r="H823" s="45"/>
      <c r="I823" s="45"/>
      <c r="J823" s="4">
        <f>SUM(J826:J827)</f>
        <v>178</v>
      </c>
      <c r="K823" s="5">
        <f>ROUND(0*(1+L2/100),2)</f>
        <v>0</v>
      </c>
      <c r="L823" s="5">
        <f>ROUND(J823*K823,2)</f>
        <v>0</v>
      </c>
    </row>
    <row r="824" spans="1:31" ht="99.75" hidden="1" customHeight="1" x14ac:dyDescent="0.2">
      <c r="A824" s="6"/>
      <c r="B824" s="6"/>
      <c r="C824" s="45" t="s">
        <v>1777</v>
      </c>
      <c r="D824" s="45"/>
      <c r="E824" s="45"/>
      <c r="F824" s="45"/>
      <c r="G824" s="45"/>
      <c r="H824" s="45"/>
      <c r="I824" s="45"/>
      <c r="J824" s="45"/>
      <c r="K824" s="45"/>
      <c r="L824" s="45"/>
    </row>
    <row r="825" spans="1:31" ht="15.2" hidden="1" customHeight="1" x14ac:dyDescent="0.2">
      <c r="A825" s="6"/>
      <c r="B825" s="6"/>
      <c r="C825" s="6"/>
      <c r="D825" s="7"/>
      <c r="E825" s="9" t="s">
        <v>1778</v>
      </c>
      <c r="F825" s="9" t="s">
        <v>1779</v>
      </c>
      <c r="G825" s="9" t="s">
        <v>1780</v>
      </c>
      <c r="H825" s="9" t="s">
        <v>1781</v>
      </c>
      <c r="I825" s="9" t="s">
        <v>1782</v>
      </c>
      <c r="J825" s="9" t="s">
        <v>1783</v>
      </c>
      <c r="K825" s="6"/>
      <c r="L825" s="6"/>
    </row>
    <row r="826" spans="1:31" hidden="1" x14ac:dyDescent="0.2">
      <c r="A826" s="6"/>
      <c r="B826" s="6"/>
      <c r="C826" s="10"/>
      <c r="D826" s="11" t="s">
        <v>1784</v>
      </c>
      <c r="E826" s="12">
        <v>96</v>
      </c>
      <c r="F826" s="13"/>
      <c r="G826" s="13"/>
      <c r="H826" s="13"/>
      <c r="I826" s="15">
        <f>ROUND(E826,3)</f>
        <v>96</v>
      </c>
      <c r="J826" s="18"/>
      <c r="K826" s="6"/>
      <c r="L826" s="6"/>
    </row>
    <row r="827" spans="1:31" ht="22.5" hidden="1" x14ac:dyDescent="0.2">
      <c r="A827" s="6"/>
      <c r="B827" s="6"/>
      <c r="C827" s="10"/>
      <c r="D827" s="2" t="s">
        <v>1785</v>
      </c>
      <c r="E827" s="1">
        <v>82</v>
      </c>
      <c r="F827" s="5"/>
      <c r="G827" s="5"/>
      <c r="H827" s="5"/>
      <c r="I827" s="14">
        <f>ROUND(E827,3)</f>
        <v>82</v>
      </c>
      <c r="J827" s="16">
        <f>SUM(I826:I827)</f>
        <v>178</v>
      </c>
      <c r="K827" s="6"/>
      <c r="L827" s="6"/>
    </row>
    <row r="828" spans="1:31" ht="15.4" hidden="1" customHeight="1" x14ac:dyDescent="0.2">
      <c r="A828" s="3" t="s">
        <v>1786</v>
      </c>
      <c r="B828" s="2" t="s">
        <v>1787</v>
      </c>
      <c r="C828" s="45" t="s">
        <v>1788</v>
      </c>
      <c r="D828" s="45"/>
      <c r="E828" s="45"/>
      <c r="F828" s="45"/>
      <c r="G828" s="45"/>
      <c r="H828" s="45"/>
      <c r="I828" s="45"/>
      <c r="J828" s="4">
        <f>SUM(J831:J832)</f>
        <v>18.2</v>
      </c>
      <c r="K828" s="5">
        <f>ROUND(0*(1+L2/100),2)</f>
        <v>0</v>
      </c>
      <c r="L828" s="5">
        <f>ROUND(J828*K828,2)</f>
        <v>0</v>
      </c>
    </row>
    <row r="829" spans="1:31" ht="97.5" hidden="1" customHeight="1" x14ac:dyDescent="0.2">
      <c r="A829" s="6"/>
      <c r="B829" s="6"/>
      <c r="C829" s="45" t="s">
        <v>1789</v>
      </c>
      <c r="D829" s="45"/>
      <c r="E829" s="45"/>
      <c r="F829" s="45"/>
      <c r="G829" s="45"/>
      <c r="H829" s="45"/>
      <c r="I829" s="45"/>
      <c r="J829" s="45"/>
      <c r="K829" s="45"/>
      <c r="L829" s="45"/>
    </row>
    <row r="830" spans="1:31" ht="15.2" hidden="1" customHeight="1" x14ac:dyDescent="0.2">
      <c r="A830" s="6"/>
      <c r="B830" s="6"/>
      <c r="C830" s="6"/>
      <c r="D830" s="7"/>
      <c r="E830" s="9" t="s">
        <v>1790</v>
      </c>
      <c r="F830" s="9" t="s">
        <v>1791</v>
      </c>
      <c r="G830" s="9" t="s">
        <v>1792</v>
      </c>
      <c r="H830" s="9" t="s">
        <v>1793</v>
      </c>
      <c r="I830" s="9" t="s">
        <v>1794</v>
      </c>
      <c r="J830" s="9" t="s">
        <v>1795</v>
      </c>
      <c r="K830" s="6"/>
      <c r="L830" s="6"/>
    </row>
    <row r="831" spans="1:31" ht="15.2" hidden="1" customHeight="1" x14ac:dyDescent="0.2">
      <c r="A831" s="6"/>
      <c r="B831" s="6"/>
      <c r="C831" s="10"/>
      <c r="D831" s="11" t="s">
        <v>1796</v>
      </c>
      <c r="E831" s="12">
        <v>16.3</v>
      </c>
      <c r="F831" s="13"/>
      <c r="G831" s="13"/>
      <c r="H831" s="13"/>
      <c r="I831" s="15">
        <f>ROUND(E831,3)</f>
        <v>16.3</v>
      </c>
      <c r="J831" s="18"/>
      <c r="K831" s="6"/>
      <c r="L831" s="6"/>
    </row>
    <row r="832" spans="1:31" ht="15.2" hidden="1" customHeight="1" x14ac:dyDescent="0.2">
      <c r="A832" s="6"/>
      <c r="B832" s="6"/>
      <c r="C832" s="10"/>
      <c r="D832" s="2" t="s">
        <v>1797</v>
      </c>
      <c r="E832" s="1">
        <v>1.9</v>
      </c>
      <c r="F832" s="5"/>
      <c r="G832" s="5"/>
      <c r="H832" s="5"/>
      <c r="I832" s="14">
        <f>ROUND(E832,3)</f>
        <v>1.9</v>
      </c>
      <c r="J832" s="16">
        <f>SUM(I831:I832)</f>
        <v>18.2</v>
      </c>
      <c r="K832" s="6"/>
      <c r="L832" s="6"/>
    </row>
    <row r="833" spans="1:32" ht="15.4" hidden="1" customHeight="1" x14ac:dyDescent="0.2">
      <c r="A833" s="3" t="s">
        <v>1798</v>
      </c>
      <c r="B833" s="2" t="s">
        <v>1799</v>
      </c>
      <c r="C833" s="45" t="s">
        <v>1800</v>
      </c>
      <c r="D833" s="45"/>
      <c r="E833" s="45"/>
      <c r="F833" s="45"/>
      <c r="G833" s="45"/>
      <c r="H833" s="45"/>
      <c r="I833" s="45"/>
      <c r="J833" s="4">
        <f>SUM(J836:J837)</f>
        <v>120</v>
      </c>
      <c r="K833" s="5">
        <f>ROUND(0*(1+L2/100),2)</f>
        <v>0</v>
      </c>
      <c r="L833" s="5">
        <f>ROUND(J833*K833,2)</f>
        <v>0</v>
      </c>
      <c r="AE833" s="58" t="s">
        <v>2195</v>
      </c>
    </row>
    <row r="834" spans="1:32" ht="33" hidden="1" customHeight="1" x14ac:dyDescent="0.2">
      <c r="A834" s="6"/>
      <c r="B834" s="6"/>
      <c r="C834" s="45" t="s">
        <v>1801</v>
      </c>
      <c r="D834" s="45"/>
      <c r="E834" s="45"/>
      <c r="F834" s="45"/>
      <c r="G834" s="45"/>
      <c r="H834" s="45"/>
      <c r="I834" s="45"/>
      <c r="J834" s="45"/>
      <c r="K834" s="45"/>
      <c r="L834" s="45"/>
      <c r="AE834" s="58" t="s">
        <v>2195</v>
      </c>
    </row>
    <row r="835" spans="1:32" ht="15.2" hidden="1" customHeight="1" x14ac:dyDescent="0.2">
      <c r="A835" s="6"/>
      <c r="B835" s="6"/>
      <c r="C835" s="6"/>
      <c r="D835" s="7"/>
      <c r="E835" s="9" t="s">
        <v>1802</v>
      </c>
      <c r="F835" s="9" t="s">
        <v>1803</v>
      </c>
      <c r="G835" s="9" t="s">
        <v>1804</v>
      </c>
      <c r="H835" s="9" t="s">
        <v>1805</v>
      </c>
      <c r="I835" s="9" t="s">
        <v>1806</v>
      </c>
      <c r="J835" s="9" t="s">
        <v>1807</v>
      </c>
      <c r="K835" s="6"/>
      <c r="L835" s="6"/>
      <c r="AE835" s="58" t="s">
        <v>2195</v>
      </c>
    </row>
    <row r="836" spans="1:32" ht="15.2" hidden="1" customHeight="1" x14ac:dyDescent="0.2">
      <c r="A836" s="6"/>
      <c r="B836" s="6"/>
      <c r="C836" s="10"/>
      <c r="D836" s="11" t="s">
        <v>1808</v>
      </c>
      <c r="E836" s="12">
        <v>60</v>
      </c>
      <c r="F836" s="13"/>
      <c r="G836" s="13"/>
      <c r="H836" s="13"/>
      <c r="I836" s="15">
        <f>ROUND(E836,3)</f>
        <v>60</v>
      </c>
      <c r="J836" s="18"/>
      <c r="K836" s="6"/>
      <c r="L836" s="6"/>
      <c r="AE836" s="58" t="s">
        <v>2195</v>
      </c>
    </row>
    <row r="837" spans="1:32" ht="15.2" hidden="1" customHeight="1" x14ac:dyDescent="0.2">
      <c r="A837" s="6"/>
      <c r="B837" s="6"/>
      <c r="C837" s="10"/>
      <c r="D837" s="2" t="s">
        <v>1809</v>
      </c>
      <c r="E837" s="1">
        <v>60</v>
      </c>
      <c r="F837" s="5"/>
      <c r="G837" s="5"/>
      <c r="H837" s="5"/>
      <c r="I837" s="14">
        <f>ROUND(E837,3)</f>
        <v>60</v>
      </c>
      <c r="J837" s="16">
        <f>SUM(I836:I837)</f>
        <v>120</v>
      </c>
      <c r="K837" s="6"/>
      <c r="L837" s="6"/>
      <c r="AE837" s="58" t="s">
        <v>2195</v>
      </c>
    </row>
    <row r="838" spans="1:32" ht="15.4" hidden="1" customHeight="1" x14ac:dyDescent="0.2">
      <c r="A838" s="37" t="s">
        <v>1810</v>
      </c>
      <c r="B838" s="34"/>
      <c r="C838" s="46" t="s">
        <v>1811</v>
      </c>
      <c r="D838" s="46"/>
      <c r="E838" s="46"/>
      <c r="F838" s="46"/>
      <c r="G838" s="46"/>
      <c r="H838" s="46"/>
      <c r="I838" s="46"/>
      <c r="J838" s="34"/>
      <c r="K838" s="35">
        <v>0</v>
      </c>
      <c r="L838" s="35">
        <f>ROUND(K838,2)</f>
        <v>0</v>
      </c>
      <c r="S838" s="58" t="s">
        <v>2183</v>
      </c>
      <c r="AF838" s="58" t="s">
        <v>2196</v>
      </c>
    </row>
    <row r="839" spans="1:32" ht="15.4" hidden="1" customHeight="1" x14ac:dyDescent="0.2">
      <c r="A839" s="3" t="s">
        <v>1812</v>
      </c>
      <c r="B839" s="2" t="s">
        <v>1813</v>
      </c>
      <c r="C839" s="45" t="s">
        <v>1814</v>
      </c>
      <c r="D839" s="45"/>
      <c r="E839" s="45"/>
      <c r="F839" s="45"/>
      <c r="G839" s="45"/>
      <c r="H839" s="45"/>
      <c r="I839" s="45"/>
      <c r="J839" s="4">
        <f>SUM(J842:J843)</f>
        <v>66</v>
      </c>
      <c r="K839" s="5">
        <f>ROUND(0*(1+L2/100),2)</f>
        <v>0</v>
      </c>
      <c r="L839" s="5">
        <f>ROUND(J839*K839,2)</f>
        <v>0</v>
      </c>
      <c r="S839" s="58" t="s">
        <v>2183</v>
      </c>
    </row>
    <row r="840" spans="1:32" ht="75" hidden="1" customHeight="1" x14ac:dyDescent="0.2">
      <c r="A840" s="6"/>
      <c r="B840" s="6"/>
      <c r="C840" s="45" t="s">
        <v>1815</v>
      </c>
      <c r="D840" s="45"/>
      <c r="E840" s="45"/>
      <c r="F840" s="45"/>
      <c r="G840" s="45"/>
      <c r="H840" s="45"/>
      <c r="I840" s="45"/>
      <c r="J840" s="45"/>
      <c r="K840" s="45"/>
      <c r="L840" s="45"/>
      <c r="S840" s="58" t="s">
        <v>2183</v>
      </c>
    </row>
    <row r="841" spans="1:32" ht="15.2" hidden="1" customHeight="1" x14ac:dyDescent="0.2">
      <c r="A841" s="6"/>
      <c r="B841" s="6"/>
      <c r="C841" s="6"/>
      <c r="D841" s="7"/>
      <c r="E841" s="9" t="s">
        <v>1816</v>
      </c>
      <c r="F841" s="9" t="s">
        <v>1817</v>
      </c>
      <c r="G841" s="9" t="s">
        <v>1818</v>
      </c>
      <c r="H841" s="9" t="s">
        <v>1819</v>
      </c>
      <c r="I841" s="9" t="s">
        <v>1820</v>
      </c>
      <c r="J841" s="9" t="s">
        <v>1821</v>
      </c>
      <c r="K841" s="6"/>
      <c r="L841" s="6"/>
      <c r="S841" s="58" t="s">
        <v>2183</v>
      </c>
    </row>
    <row r="842" spans="1:32" ht="22.5" hidden="1" x14ac:dyDescent="0.2">
      <c r="A842" s="6"/>
      <c r="B842" s="6"/>
      <c r="C842" s="10"/>
      <c r="D842" s="11" t="s">
        <v>1822</v>
      </c>
      <c r="E842" s="12">
        <v>32</v>
      </c>
      <c r="F842" s="13"/>
      <c r="G842" s="13"/>
      <c r="H842" s="13"/>
      <c r="I842" s="15">
        <f>ROUND(E842,3)</f>
        <v>32</v>
      </c>
      <c r="J842" s="18"/>
      <c r="K842" s="6"/>
      <c r="L842" s="6"/>
      <c r="S842" s="58" t="s">
        <v>2183</v>
      </c>
    </row>
    <row r="843" spans="1:32" hidden="1" x14ac:dyDescent="0.2">
      <c r="A843" s="6"/>
      <c r="B843" s="6"/>
      <c r="C843" s="10"/>
      <c r="D843" s="2" t="s">
        <v>1823</v>
      </c>
      <c r="E843" s="1">
        <v>34</v>
      </c>
      <c r="F843" s="5"/>
      <c r="G843" s="5"/>
      <c r="H843" s="5"/>
      <c r="I843" s="14">
        <f>ROUND(E843,3)</f>
        <v>34</v>
      </c>
      <c r="J843" s="16">
        <f>SUM(I842:I843)</f>
        <v>66</v>
      </c>
      <c r="K843" s="6"/>
      <c r="L843" s="6"/>
      <c r="S843" s="58" t="s">
        <v>2183</v>
      </c>
    </row>
    <row r="844" spans="1:32" ht="15.4" hidden="1" customHeight="1" x14ac:dyDescent="0.2">
      <c r="A844" s="3" t="s">
        <v>1824</v>
      </c>
      <c r="B844" s="2" t="s">
        <v>1825</v>
      </c>
      <c r="C844" s="45" t="s">
        <v>1826</v>
      </c>
      <c r="D844" s="45"/>
      <c r="E844" s="45"/>
      <c r="F844" s="45"/>
      <c r="G844" s="45"/>
      <c r="H844" s="45"/>
      <c r="I844" s="45"/>
      <c r="J844" s="4">
        <f>SUM(J847:J848)</f>
        <v>47.4</v>
      </c>
      <c r="K844" s="5">
        <f>ROUND(0*(1+L2/100),2)</f>
        <v>0</v>
      </c>
      <c r="L844" s="5">
        <f>ROUND(J844*K844,2)</f>
        <v>0</v>
      </c>
      <c r="S844" s="58" t="s">
        <v>2183</v>
      </c>
      <c r="AF844" s="58" t="s">
        <v>2196</v>
      </c>
    </row>
    <row r="845" spans="1:32" ht="12.2" hidden="1" customHeight="1" x14ac:dyDescent="0.2">
      <c r="A845" s="6"/>
      <c r="B845" s="6"/>
      <c r="C845" s="45" t="s">
        <v>1827</v>
      </c>
      <c r="D845" s="45"/>
      <c r="E845" s="45"/>
      <c r="F845" s="45"/>
      <c r="G845" s="45"/>
      <c r="H845" s="45"/>
      <c r="I845" s="45"/>
      <c r="J845" s="45"/>
      <c r="K845" s="45"/>
      <c r="L845" s="45"/>
      <c r="S845" s="58" t="s">
        <v>2183</v>
      </c>
      <c r="AF845" s="58" t="s">
        <v>2196</v>
      </c>
    </row>
    <row r="846" spans="1:32" ht="15.2" hidden="1" customHeight="1" x14ac:dyDescent="0.2">
      <c r="A846" s="6"/>
      <c r="B846" s="6"/>
      <c r="C846" s="6"/>
      <c r="D846" s="7"/>
      <c r="E846" s="9" t="s">
        <v>1828</v>
      </c>
      <c r="F846" s="9" t="s">
        <v>1829</v>
      </c>
      <c r="G846" s="9" t="s">
        <v>1830</v>
      </c>
      <c r="H846" s="9" t="s">
        <v>1831</v>
      </c>
      <c r="I846" s="9" t="s">
        <v>1832</v>
      </c>
      <c r="J846" s="9" t="s">
        <v>1833</v>
      </c>
      <c r="K846" s="6"/>
      <c r="L846" s="6"/>
      <c r="S846" s="58" t="s">
        <v>2183</v>
      </c>
      <c r="AF846" s="58" t="s">
        <v>2196</v>
      </c>
    </row>
    <row r="847" spans="1:32" ht="15.2" hidden="1" customHeight="1" x14ac:dyDescent="0.2">
      <c r="A847" s="6"/>
      <c r="B847" s="6"/>
      <c r="C847" s="10"/>
      <c r="D847" s="11" t="s">
        <v>1834</v>
      </c>
      <c r="E847" s="12">
        <v>1</v>
      </c>
      <c r="F847" s="13">
        <v>5.4</v>
      </c>
      <c r="G847" s="13"/>
      <c r="H847" s="13"/>
      <c r="I847" s="15">
        <f>ROUND(E847*F847,3)</f>
        <v>5.4</v>
      </c>
      <c r="J847" s="18"/>
      <c r="K847" s="6"/>
      <c r="L847" s="6"/>
      <c r="S847" s="58" t="s">
        <v>2183</v>
      </c>
      <c r="AF847" s="58" t="s">
        <v>2196</v>
      </c>
    </row>
    <row r="848" spans="1:32" ht="15.2" hidden="1" customHeight="1" x14ac:dyDescent="0.2">
      <c r="A848" s="6"/>
      <c r="B848" s="6"/>
      <c r="C848" s="10"/>
      <c r="D848" s="2" t="s">
        <v>1835</v>
      </c>
      <c r="E848" s="1">
        <v>12</v>
      </c>
      <c r="F848" s="5">
        <v>3.5</v>
      </c>
      <c r="G848" s="5"/>
      <c r="H848" s="5"/>
      <c r="I848" s="14">
        <f>ROUND(E848*F848,3)</f>
        <v>42</v>
      </c>
      <c r="J848" s="16">
        <f>SUM(I847:I848)</f>
        <v>47.4</v>
      </c>
      <c r="K848" s="6"/>
      <c r="L848" s="6"/>
      <c r="S848" s="58" t="s">
        <v>2183</v>
      </c>
      <c r="AF848" s="58" t="s">
        <v>2196</v>
      </c>
    </row>
    <row r="849" spans="1:33" ht="15.4" hidden="1" customHeight="1" x14ac:dyDescent="0.2">
      <c r="A849" s="31" t="s">
        <v>1836</v>
      </c>
      <c r="B849" s="28"/>
      <c r="C849" s="44" t="s">
        <v>1837</v>
      </c>
      <c r="D849" s="44"/>
      <c r="E849" s="44"/>
      <c r="F849" s="44"/>
      <c r="G849" s="44"/>
      <c r="H849" s="44"/>
      <c r="I849" s="44"/>
      <c r="J849" s="28"/>
      <c r="K849" s="29">
        <v>0</v>
      </c>
      <c r="L849" s="29">
        <f>ROUND(K849,2)</f>
        <v>0</v>
      </c>
      <c r="AG849" s="58" t="s">
        <v>2197</v>
      </c>
    </row>
    <row r="850" spans="1:33" ht="15.4" hidden="1" customHeight="1" x14ac:dyDescent="0.2">
      <c r="A850" s="36" t="s">
        <v>1838</v>
      </c>
      <c r="B850" s="32"/>
      <c r="C850" s="47" t="s">
        <v>1839</v>
      </c>
      <c r="D850" s="47"/>
      <c r="E850" s="47"/>
      <c r="F850" s="47"/>
      <c r="G850" s="47"/>
      <c r="H850" s="47"/>
      <c r="I850" s="47"/>
      <c r="J850" s="32"/>
      <c r="K850" s="33">
        <v>0</v>
      </c>
      <c r="L850" s="33">
        <f>ROUND(K850,2)</f>
        <v>0</v>
      </c>
      <c r="AG850" s="58" t="s">
        <v>2197</v>
      </c>
    </row>
    <row r="851" spans="1:33" ht="15.4" hidden="1" customHeight="1" x14ac:dyDescent="0.2">
      <c r="A851" s="3" t="s">
        <v>1840</v>
      </c>
      <c r="B851" s="2" t="s">
        <v>1841</v>
      </c>
      <c r="C851" s="45" t="s">
        <v>1842</v>
      </c>
      <c r="D851" s="45"/>
      <c r="E851" s="45"/>
      <c r="F851" s="45"/>
      <c r="G851" s="45"/>
      <c r="H851" s="45"/>
      <c r="I851" s="45"/>
      <c r="J851" s="4">
        <f>ROUND(1,2)</f>
        <v>1</v>
      </c>
      <c r="K851" s="5">
        <f>ROUND(0*(1+L2/100),2)</f>
        <v>0</v>
      </c>
      <c r="L851" s="5">
        <f>ROUND(J851*K851,2)</f>
        <v>0</v>
      </c>
      <c r="AG851" s="58" t="s">
        <v>2197</v>
      </c>
    </row>
    <row r="852" spans="1:33" ht="42" hidden="1" customHeight="1" x14ac:dyDescent="0.2">
      <c r="A852" s="6"/>
      <c r="B852" s="6"/>
      <c r="C852" s="45" t="s">
        <v>1843</v>
      </c>
      <c r="D852" s="45"/>
      <c r="E852" s="45"/>
      <c r="F852" s="45"/>
      <c r="G852" s="45"/>
      <c r="H852" s="45"/>
      <c r="I852" s="45"/>
      <c r="J852" s="45"/>
      <c r="K852" s="45"/>
      <c r="L852" s="45"/>
      <c r="AG852" s="58" t="s">
        <v>2197</v>
      </c>
    </row>
    <row r="853" spans="1:33" ht="15.4" hidden="1" customHeight="1" x14ac:dyDescent="0.2">
      <c r="A853" s="3" t="s">
        <v>1844</v>
      </c>
      <c r="B853" s="2" t="s">
        <v>1845</v>
      </c>
      <c r="C853" s="45" t="s">
        <v>1846</v>
      </c>
      <c r="D853" s="45"/>
      <c r="E853" s="45"/>
      <c r="F853" s="45"/>
      <c r="G853" s="45"/>
      <c r="H853" s="45"/>
      <c r="I853" s="45"/>
      <c r="J853" s="4">
        <f>ROUND(2,2)</f>
        <v>2</v>
      </c>
      <c r="K853" s="5">
        <f>ROUND(0*(1+L2/100),2)</f>
        <v>0</v>
      </c>
      <c r="L853" s="5">
        <f>ROUND(J853*K853,2)</f>
        <v>0</v>
      </c>
    </row>
    <row r="854" spans="1:33" ht="163.5" hidden="1" customHeight="1" x14ac:dyDescent="0.2">
      <c r="A854" s="6"/>
      <c r="B854" s="6"/>
      <c r="C854" s="45" t="s">
        <v>1847</v>
      </c>
      <c r="D854" s="45"/>
      <c r="E854" s="45"/>
      <c r="F854" s="45"/>
      <c r="G854" s="45"/>
      <c r="H854" s="45"/>
      <c r="I854" s="45"/>
      <c r="J854" s="45"/>
      <c r="K854" s="45"/>
      <c r="L854" s="45"/>
    </row>
    <row r="855" spans="1:33" ht="15.4" hidden="1" customHeight="1" x14ac:dyDescent="0.2">
      <c r="A855" s="3" t="s">
        <v>1848</v>
      </c>
      <c r="B855" s="2" t="s">
        <v>1849</v>
      </c>
      <c r="C855" s="45" t="s">
        <v>1850</v>
      </c>
      <c r="D855" s="45"/>
      <c r="E855" s="45"/>
      <c r="F855" s="45"/>
      <c r="G855" s="45"/>
      <c r="H855" s="45"/>
      <c r="I855" s="45"/>
      <c r="J855" s="4">
        <f>ROUND(4,2)</f>
        <v>4</v>
      </c>
      <c r="K855" s="5">
        <f>ROUND(0*(1+L2/100),2)</f>
        <v>0</v>
      </c>
      <c r="L855" s="5">
        <f>ROUND(J855*K855,2)</f>
        <v>0</v>
      </c>
      <c r="AG855" s="58" t="s">
        <v>2197</v>
      </c>
    </row>
    <row r="856" spans="1:33" ht="51.75" hidden="1" customHeight="1" x14ac:dyDescent="0.2">
      <c r="A856" s="6"/>
      <c r="B856" s="6"/>
      <c r="C856" s="45" t="s">
        <v>1851</v>
      </c>
      <c r="D856" s="45"/>
      <c r="E856" s="45"/>
      <c r="F856" s="45"/>
      <c r="G856" s="45"/>
      <c r="H856" s="45"/>
      <c r="I856" s="45"/>
      <c r="J856" s="45"/>
      <c r="K856" s="45"/>
      <c r="L856" s="45"/>
      <c r="AG856" s="58" t="s">
        <v>2197</v>
      </c>
    </row>
    <row r="857" spans="1:33" ht="15.4" hidden="1" customHeight="1" x14ac:dyDescent="0.2">
      <c r="A857" s="3" t="s">
        <v>1852</v>
      </c>
      <c r="B857" s="2" t="s">
        <v>1853</v>
      </c>
      <c r="C857" s="45" t="s">
        <v>1854</v>
      </c>
      <c r="D857" s="45"/>
      <c r="E857" s="45"/>
      <c r="F857" s="45"/>
      <c r="G857" s="45"/>
      <c r="H857" s="45"/>
      <c r="I857" s="45"/>
      <c r="J857" s="4">
        <f>ROUND(1,2)</f>
        <v>1</v>
      </c>
      <c r="K857" s="5">
        <f>ROUND(0*(1+L2/100),2)</f>
        <v>0</v>
      </c>
      <c r="L857" s="5">
        <f>ROUND(J857*K857,2)</f>
        <v>0</v>
      </c>
      <c r="AG857" s="58" t="s">
        <v>2197</v>
      </c>
    </row>
    <row r="858" spans="1:33" ht="28.5" hidden="1" customHeight="1" x14ac:dyDescent="0.2">
      <c r="A858" s="6"/>
      <c r="B858" s="6"/>
      <c r="C858" s="45" t="s">
        <v>1855</v>
      </c>
      <c r="D858" s="45"/>
      <c r="E858" s="45"/>
      <c r="F858" s="45"/>
      <c r="G858" s="45"/>
      <c r="H858" s="45"/>
      <c r="I858" s="45"/>
      <c r="J858" s="45"/>
      <c r="K858" s="45"/>
      <c r="L858" s="45"/>
      <c r="AG858" s="58" t="s">
        <v>2197</v>
      </c>
    </row>
    <row r="859" spans="1:33" hidden="1" x14ac:dyDescent="0.2">
      <c r="A859" s="3" t="s">
        <v>1856</v>
      </c>
      <c r="B859" s="2" t="s">
        <v>1857</v>
      </c>
      <c r="C859" s="45" t="s">
        <v>1858</v>
      </c>
      <c r="D859" s="45"/>
      <c r="E859" s="45"/>
      <c r="F859" s="45"/>
      <c r="G859" s="45"/>
      <c r="H859" s="45"/>
      <c r="I859" s="45"/>
      <c r="J859" s="4">
        <f>ROUND(1,2)</f>
        <v>1</v>
      </c>
      <c r="K859" s="5">
        <f>ROUND(0*(1+L2/100),2)</f>
        <v>0</v>
      </c>
      <c r="L859" s="5">
        <f>ROUND(J859*K859,2)</f>
        <v>0</v>
      </c>
      <c r="AG859" s="58" t="s">
        <v>2197</v>
      </c>
    </row>
    <row r="860" spans="1:33" ht="28.5" hidden="1" customHeight="1" x14ac:dyDescent="0.2">
      <c r="A860" s="6"/>
      <c r="B860" s="6"/>
      <c r="C860" s="45" t="s">
        <v>1859</v>
      </c>
      <c r="D860" s="45"/>
      <c r="E860" s="45"/>
      <c r="F860" s="45"/>
      <c r="G860" s="45"/>
      <c r="H860" s="45"/>
      <c r="I860" s="45"/>
      <c r="J860" s="45"/>
      <c r="K860" s="45"/>
      <c r="L860" s="45"/>
      <c r="AG860" s="58" t="s">
        <v>2197</v>
      </c>
    </row>
    <row r="861" spans="1:33" ht="15.4" hidden="1" customHeight="1" x14ac:dyDescent="0.2">
      <c r="A861" s="3" t="s">
        <v>1860</v>
      </c>
      <c r="B861" s="2" t="s">
        <v>1861</v>
      </c>
      <c r="C861" s="45" t="s">
        <v>1862</v>
      </c>
      <c r="D861" s="45"/>
      <c r="E861" s="45"/>
      <c r="F861" s="45"/>
      <c r="G861" s="45"/>
      <c r="H861" s="45"/>
      <c r="I861" s="45"/>
      <c r="J861" s="4">
        <f>ROUND(1,2)</f>
        <v>1</v>
      </c>
      <c r="K861" s="5">
        <f>ROUND(0*(1+L2/100),2)</f>
        <v>0</v>
      </c>
      <c r="L861" s="5">
        <f>ROUND(J861*K861,2)</f>
        <v>0</v>
      </c>
      <c r="AG861" s="58" t="s">
        <v>2197</v>
      </c>
    </row>
    <row r="862" spans="1:33" ht="30" hidden="1" customHeight="1" x14ac:dyDescent="0.2">
      <c r="A862" s="6"/>
      <c r="B862" s="6"/>
      <c r="C862" s="45" t="s">
        <v>1863</v>
      </c>
      <c r="D862" s="45"/>
      <c r="E862" s="45"/>
      <c r="F862" s="45"/>
      <c r="G862" s="45"/>
      <c r="H862" s="45"/>
      <c r="I862" s="45"/>
      <c r="J862" s="45"/>
      <c r="K862" s="45"/>
      <c r="L862" s="45"/>
      <c r="AG862" s="58" t="s">
        <v>2197</v>
      </c>
    </row>
    <row r="863" spans="1:33" ht="15.4" hidden="1" customHeight="1" x14ac:dyDescent="0.2">
      <c r="A863" s="3" t="s">
        <v>1864</v>
      </c>
      <c r="B863" s="2" t="s">
        <v>1865</v>
      </c>
      <c r="C863" s="45" t="s">
        <v>1866</v>
      </c>
      <c r="D863" s="45"/>
      <c r="E863" s="45"/>
      <c r="F863" s="45"/>
      <c r="G863" s="45"/>
      <c r="H863" s="45"/>
      <c r="I863" s="45"/>
      <c r="J863" s="4">
        <f>ROUND(1,2)</f>
        <v>1</v>
      </c>
      <c r="K863" s="5">
        <f>ROUND(0*(1+L2/100),2)</f>
        <v>0</v>
      </c>
      <c r="L863" s="5">
        <f>ROUND(J863*K863,2)</f>
        <v>0</v>
      </c>
      <c r="AG863" s="58" t="s">
        <v>2197</v>
      </c>
    </row>
    <row r="864" spans="1:33" ht="29.25" hidden="1" customHeight="1" x14ac:dyDescent="0.2">
      <c r="A864" s="6"/>
      <c r="B864" s="6"/>
      <c r="C864" s="45" t="s">
        <v>1867</v>
      </c>
      <c r="D864" s="45"/>
      <c r="E864" s="45"/>
      <c r="F864" s="45"/>
      <c r="G864" s="45"/>
      <c r="H864" s="45"/>
      <c r="I864" s="45"/>
      <c r="J864" s="45"/>
      <c r="K864" s="45"/>
      <c r="L864" s="45"/>
      <c r="AG864" s="58" t="s">
        <v>2197</v>
      </c>
    </row>
    <row r="865" spans="1:34" ht="15.4" hidden="1" customHeight="1" x14ac:dyDescent="0.2">
      <c r="A865" s="37" t="s">
        <v>1868</v>
      </c>
      <c r="B865" s="34"/>
      <c r="C865" s="46" t="s">
        <v>1869</v>
      </c>
      <c r="D865" s="46"/>
      <c r="E865" s="46"/>
      <c r="F865" s="46"/>
      <c r="G865" s="46"/>
      <c r="H865" s="46"/>
      <c r="I865" s="46"/>
      <c r="J865" s="34"/>
      <c r="K865" s="35">
        <v>0</v>
      </c>
      <c r="L865" s="35">
        <f>ROUND(K865,2)</f>
        <v>0</v>
      </c>
      <c r="X865" s="58" t="s">
        <v>2188</v>
      </c>
    </row>
    <row r="866" spans="1:34" ht="15.4" hidden="1" customHeight="1" x14ac:dyDescent="0.2">
      <c r="A866" s="3" t="s">
        <v>1870</v>
      </c>
      <c r="B866" s="2" t="s">
        <v>1871</v>
      </c>
      <c r="C866" s="45" t="s">
        <v>1872</v>
      </c>
      <c r="D866" s="45"/>
      <c r="E866" s="45"/>
      <c r="F866" s="45"/>
      <c r="G866" s="45"/>
      <c r="H866" s="45"/>
      <c r="I866" s="45"/>
      <c r="J866" s="4">
        <f>SUM(J869:J874)</f>
        <v>9.5200000000000014</v>
      </c>
      <c r="K866" s="5">
        <f>ROUND(0*(1+L2/100),2)</f>
        <v>0</v>
      </c>
      <c r="L866" s="5">
        <f>ROUND(J866*K866,2)</f>
        <v>0</v>
      </c>
      <c r="X866" s="58" t="s">
        <v>2188</v>
      </c>
    </row>
    <row r="867" spans="1:34" ht="74.25" hidden="1" customHeight="1" x14ac:dyDescent="0.2">
      <c r="A867" s="6"/>
      <c r="B867" s="6"/>
      <c r="C867" s="45" t="s">
        <v>1873</v>
      </c>
      <c r="D867" s="45"/>
      <c r="E867" s="45"/>
      <c r="F867" s="45"/>
      <c r="G867" s="45"/>
      <c r="H867" s="45"/>
      <c r="I867" s="45"/>
      <c r="J867" s="45"/>
      <c r="K867" s="45"/>
      <c r="L867" s="45"/>
      <c r="X867" s="58" t="s">
        <v>2188</v>
      </c>
    </row>
    <row r="868" spans="1:34" ht="15.2" hidden="1" customHeight="1" x14ac:dyDescent="0.2">
      <c r="A868" s="6"/>
      <c r="B868" s="6"/>
      <c r="C868" s="6"/>
      <c r="D868" s="7"/>
      <c r="E868" s="9" t="s">
        <v>1874</v>
      </c>
      <c r="F868" s="9" t="s">
        <v>1875</v>
      </c>
      <c r="G868" s="9" t="s">
        <v>1876</v>
      </c>
      <c r="H868" s="9" t="s">
        <v>1877</v>
      </c>
      <c r="I868" s="9" t="s">
        <v>1878</v>
      </c>
      <c r="J868" s="9" t="s">
        <v>1879</v>
      </c>
      <c r="K868" s="6"/>
      <c r="L868" s="6"/>
      <c r="X868" s="58" t="s">
        <v>2188</v>
      </c>
    </row>
    <row r="869" spans="1:34" hidden="1" x14ac:dyDescent="0.2">
      <c r="A869" s="6"/>
      <c r="B869" s="6"/>
      <c r="C869" s="10"/>
      <c r="D869" s="11" t="s">
        <v>1880</v>
      </c>
      <c r="E869" s="12">
        <v>1</v>
      </c>
      <c r="F869" s="13">
        <v>3.65</v>
      </c>
      <c r="G869" s="13">
        <v>0.6</v>
      </c>
      <c r="H869" s="13"/>
      <c r="I869" s="15">
        <f t="shared" ref="I869:I874" si="5">ROUND(E869*F869*G869,3)</f>
        <v>2.19</v>
      </c>
      <c r="J869" s="18"/>
      <c r="K869" s="6"/>
      <c r="L869" s="6"/>
      <c r="X869" s="58" t="s">
        <v>2188</v>
      </c>
    </row>
    <row r="870" spans="1:34" hidden="1" x14ac:dyDescent="0.2">
      <c r="A870" s="6"/>
      <c r="B870" s="6"/>
      <c r="C870" s="10"/>
      <c r="D870" s="2" t="s">
        <v>1881</v>
      </c>
      <c r="E870" s="1">
        <v>1</v>
      </c>
      <c r="F870" s="5">
        <v>2.2999999999999998</v>
      </c>
      <c r="G870" s="5">
        <v>0.8</v>
      </c>
      <c r="H870" s="5"/>
      <c r="I870" s="14">
        <f t="shared" si="5"/>
        <v>1.84</v>
      </c>
      <c r="J870" s="6"/>
      <c r="K870" s="6"/>
      <c r="L870" s="6"/>
      <c r="X870" s="58" t="s">
        <v>2188</v>
      </c>
    </row>
    <row r="871" spans="1:34" hidden="1" x14ac:dyDescent="0.2">
      <c r="A871" s="6"/>
      <c r="B871" s="6"/>
      <c r="C871" s="10"/>
      <c r="D871" s="2" t="s">
        <v>1882</v>
      </c>
      <c r="E871" s="1">
        <v>1</v>
      </c>
      <c r="F871" s="5">
        <v>3.15</v>
      </c>
      <c r="G871" s="5">
        <v>0.6</v>
      </c>
      <c r="H871" s="5"/>
      <c r="I871" s="14">
        <f t="shared" si="5"/>
        <v>1.89</v>
      </c>
      <c r="J871" s="6"/>
      <c r="K871" s="6"/>
      <c r="L871" s="6"/>
      <c r="X871" s="58" t="s">
        <v>2188</v>
      </c>
    </row>
    <row r="872" spans="1:34" ht="22.5" hidden="1" x14ac:dyDescent="0.2">
      <c r="A872" s="6"/>
      <c r="B872" s="6"/>
      <c r="C872" s="10"/>
      <c r="D872" s="2" t="s">
        <v>1883</v>
      </c>
      <c r="E872" s="1">
        <v>1</v>
      </c>
      <c r="F872" s="5">
        <v>1.85</v>
      </c>
      <c r="G872" s="5">
        <v>0.6</v>
      </c>
      <c r="H872" s="5"/>
      <c r="I872" s="14">
        <f t="shared" si="5"/>
        <v>1.1100000000000001</v>
      </c>
      <c r="J872" s="6"/>
      <c r="K872" s="6"/>
      <c r="L872" s="6"/>
      <c r="X872" s="58" t="s">
        <v>2188</v>
      </c>
    </row>
    <row r="873" spans="1:34" ht="22.5" hidden="1" x14ac:dyDescent="0.2">
      <c r="A873" s="6"/>
      <c r="B873" s="6"/>
      <c r="C873" s="10"/>
      <c r="D873" s="2" t="s">
        <v>1884</v>
      </c>
      <c r="E873" s="1">
        <v>1</v>
      </c>
      <c r="F873" s="5">
        <v>1.5</v>
      </c>
      <c r="G873" s="5">
        <v>0.6</v>
      </c>
      <c r="H873" s="5"/>
      <c r="I873" s="14">
        <f t="shared" si="5"/>
        <v>0.9</v>
      </c>
      <c r="J873" s="6"/>
      <c r="K873" s="6"/>
      <c r="L873" s="6"/>
      <c r="X873" s="58" t="s">
        <v>2188</v>
      </c>
    </row>
    <row r="874" spans="1:34" hidden="1" x14ac:dyDescent="0.2">
      <c r="A874" s="6"/>
      <c r="B874" s="6"/>
      <c r="C874" s="10"/>
      <c r="D874" s="2" t="s">
        <v>1885</v>
      </c>
      <c r="E874" s="1">
        <v>1</v>
      </c>
      <c r="F874" s="5">
        <v>2.65</v>
      </c>
      <c r="G874" s="5">
        <v>0.6</v>
      </c>
      <c r="H874" s="5"/>
      <c r="I874" s="14">
        <f t="shared" si="5"/>
        <v>1.59</v>
      </c>
      <c r="J874" s="16">
        <f>SUM(I869:I874)</f>
        <v>9.5200000000000014</v>
      </c>
      <c r="K874" s="6"/>
      <c r="L874" s="6"/>
      <c r="X874" s="58" t="s">
        <v>2188</v>
      </c>
    </row>
    <row r="875" spans="1:34" ht="15.4" hidden="1" customHeight="1" x14ac:dyDescent="0.2">
      <c r="A875" s="37" t="s">
        <v>1886</v>
      </c>
      <c r="B875" s="34"/>
      <c r="C875" s="46" t="s">
        <v>1887</v>
      </c>
      <c r="D875" s="46"/>
      <c r="E875" s="46"/>
      <c r="F875" s="46"/>
      <c r="G875" s="46"/>
      <c r="H875" s="46"/>
      <c r="I875" s="46"/>
      <c r="J875" s="34"/>
      <c r="K875" s="35">
        <v>0</v>
      </c>
      <c r="L875" s="35">
        <f>ROUND(K875,2)</f>
        <v>0</v>
      </c>
      <c r="T875" s="58" t="s">
        <v>2184</v>
      </c>
      <c r="AG875" s="58" t="s">
        <v>2197</v>
      </c>
      <c r="AH875" s="58" t="s">
        <v>2198</v>
      </c>
    </row>
    <row r="876" spans="1:34" ht="15.4" hidden="1" customHeight="1" x14ac:dyDescent="0.2">
      <c r="A876" s="3" t="s">
        <v>1888</v>
      </c>
      <c r="B876" s="2" t="s">
        <v>1889</v>
      </c>
      <c r="C876" s="45" t="s">
        <v>1890</v>
      </c>
      <c r="D876" s="45"/>
      <c r="E876" s="45"/>
      <c r="F876" s="45"/>
      <c r="G876" s="45"/>
      <c r="H876" s="45"/>
      <c r="I876" s="45"/>
      <c r="J876" s="4">
        <f>ROUND(1,2)</f>
        <v>1</v>
      </c>
      <c r="K876" s="5">
        <f>ROUND(0*(1+L2/100),2)</f>
        <v>0</v>
      </c>
      <c r="L876" s="5">
        <f>ROUND(J876*K876,2)</f>
        <v>0</v>
      </c>
      <c r="AH876" s="58" t="s">
        <v>2198</v>
      </c>
    </row>
    <row r="877" spans="1:34" ht="49.5" hidden="1" customHeight="1" x14ac:dyDescent="0.2">
      <c r="A877" s="6"/>
      <c r="B877" s="6"/>
      <c r="C877" s="45" t="s">
        <v>1891</v>
      </c>
      <c r="D877" s="45"/>
      <c r="E877" s="45"/>
      <c r="F877" s="45"/>
      <c r="G877" s="45"/>
      <c r="H877" s="45"/>
      <c r="I877" s="45"/>
      <c r="J877" s="45"/>
      <c r="K877" s="45"/>
      <c r="L877" s="45"/>
      <c r="AH877" s="58" t="s">
        <v>2198</v>
      </c>
    </row>
    <row r="878" spans="1:34" ht="15.4" hidden="1" customHeight="1" x14ac:dyDescent="0.2">
      <c r="A878" s="3" t="s">
        <v>1892</v>
      </c>
      <c r="B878" s="2" t="s">
        <v>1893</v>
      </c>
      <c r="C878" s="45" t="s">
        <v>1894</v>
      </c>
      <c r="D878" s="45"/>
      <c r="E878" s="45"/>
      <c r="F878" s="45"/>
      <c r="G878" s="45"/>
      <c r="H878" s="45"/>
      <c r="I878" s="45"/>
      <c r="J878" s="4">
        <f>ROUND(1,2)</f>
        <v>1</v>
      </c>
      <c r="K878" s="5">
        <f>ROUND(0*(1+L2/100),2)</f>
        <v>0</v>
      </c>
      <c r="L878" s="5">
        <f>ROUND(J878*K878,2)</f>
        <v>0</v>
      </c>
      <c r="AH878" s="58" t="s">
        <v>2198</v>
      </c>
    </row>
    <row r="879" spans="1:34" ht="30.75" hidden="1" customHeight="1" x14ac:dyDescent="0.2">
      <c r="A879" s="6"/>
      <c r="B879" s="6"/>
      <c r="C879" s="45" t="s">
        <v>1895</v>
      </c>
      <c r="D879" s="45"/>
      <c r="E879" s="45"/>
      <c r="F879" s="45"/>
      <c r="G879" s="45"/>
      <c r="H879" s="45"/>
      <c r="I879" s="45"/>
      <c r="J879" s="45"/>
      <c r="K879" s="45"/>
      <c r="L879" s="45"/>
      <c r="AH879" s="58" t="s">
        <v>2198</v>
      </c>
    </row>
    <row r="880" spans="1:34" ht="15.4" hidden="1" customHeight="1" x14ac:dyDescent="0.2">
      <c r="A880" s="3" t="s">
        <v>1896</v>
      </c>
      <c r="B880" s="2" t="s">
        <v>1897</v>
      </c>
      <c r="C880" s="45" t="s">
        <v>1898</v>
      </c>
      <c r="D880" s="45"/>
      <c r="E880" s="45"/>
      <c r="F880" s="45"/>
      <c r="G880" s="45"/>
      <c r="H880" s="45"/>
      <c r="I880" s="45"/>
      <c r="J880" s="4">
        <f>ROUND(1,2)</f>
        <v>1</v>
      </c>
      <c r="K880" s="5">
        <f>ROUND(0*(1+L2/100),2)</f>
        <v>0</v>
      </c>
      <c r="L880" s="5">
        <f>ROUND(J880*K880,2)</f>
        <v>0</v>
      </c>
      <c r="AH880" s="58" t="s">
        <v>2198</v>
      </c>
    </row>
    <row r="881" spans="1:34" ht="30.75" hidden="1" customHeight="1" x14ac:dyDescent="0.2">
      <c r="A881" s="6"/>
      <c r="B881" s="6"/>
      <c r="C881" s="45" t="s">
        <v>1899</v>
      </c>
      <c r="D881" s="45"/>
      <c r="E881" s="45"/>
      <c r="F881" s="45"/>
      <c r="G881" s="45"/>
      <c r="H881" s="45"/>
      <c r="I881" s="45"/>
      <c r="J881" s="45"/>
      <c r="K881" s="45"/>
      <c r="L881" s="45"/>
      <c r="AH881" s="58" t="s">
        <v>2198</v>
      </c>
    </row>
    <row r="882" spans="1:34" ht="15.4" hidden="1" customHeight="1" x14ac:dyDescent="0.2">
      <c r="A882" s="3" t="s">
        <v>1900</v>
      </c>
      <c r="B882" s="2" t="s">
        <v>1901</v>
      </c>
      <c r="C882" s="45" t="s">
        <v>1902</v>
      </c>
      <c r="D882" s="45"/>
      <c r="E882" s="45"/>
      <c r="F882" s="45"/>
      <c r="G882" s="45"/>
      <c r="H882" s="45"/>
      <c r="I882" s="45"/>
      <c r="J882" s="4">
        <f>ROUND(1,2)</f>
        <v>1</v>
      </c>
      <c r="K882" s="5">
        <f>ROUND(0*(1+L2/100),2)</f>
        <v>0</v>
      </c>
      <c r="L882" s="5">
        <f>ROUND(J882*K882,2)</f>
        <v>0</v>
      </c>
      <c r="AH882" s="58" t="s">
        <v>2198</v>
      </c>
    </row>
    <row r="883" spans="1:34" ht="40.5" hidden="1" customHeight="1" x14ac:dyDescent="0.2">
      <c r="A883" s="6"/>
      <c r="B883" s="6"/>
      <c r="C883" s="45" t="s">
        <v>1903</v>
      </c>
      <c r="D883" s="45"/>
      <c r="E883" s="45"/>
      <c r="F883" s="45"/>
      <c r="G883" s="45"/>
      <c r="H883" s="45"/>
      <c r="I883" s="45"/>
      <c r="J883" s="45"/>
      <c r="K883" s="45"/>
      <c r="L883" s="45"/>
      <c r="AH883" s="58" t="s">
        <v>2198</v>
      </c>
    </row>
    <row r="884" spans="1:34" ht="15.4" hidden="1" customHeight="1" x14ac:dyDescent="0.2">
      <c r="A884" s="3" t="s">
        <v>1904</v>
      </c>
      <c r="B884" s="2" t="s">
        <v>1905</v>
      </c>
      <c r="C884" s="45" t="s">
        <v>1906</v>
      </c>
      <c r="D884" s="45"/>
      <c r="E884" s="45"/>
      <c r="F884" s="45"/>
      <c r="G884" s="45"/>
      <c r="H884" s="45"/>
      <c r="I884" s="45"/>
      <c r="J884" s="4">
        <f>ROUND(1,2)</f>
        <v>1</v>
      </c>
      <c r="K884" s="5">
        <f>ROUND(0*(1+L2/100),2)</f>
        <v>0</v>
      </c>
      <c r="L884" s="5">
        <f>ROUND(J884*K884,2)</f>
        <v>0</v>
      </c>
      <c r="AH884" s="58" t="s">
        <v>2198</v>
      </c>
    </row>
    <row r="885" spans="1:34" ht="57" hidden="1" customHeight="1" x14ac:dyDescent="0.2">
      <c r="A885" s="6"/>
      <c r="B885" s="6"/>
      <c r="C885" s="45" t="s">
        <v>1907</v>
      </c>
      <c r="D885" s="45"/>
      <c r="E885" s="45"/>
      <c r="F885" s="45"/>
      <c r="G885" s="45"/>
      <c r="H885" s="45"/>
      <c r="I885" s="45"/>
      <c r="J885" s="45"/>
      <c r="K885" s="45"/>
      <c r="L885" s="45"/>
      <c r="AH885" s="58" t="s">
        <v>2198</v>
      </c>
    </row>
    <row r="886" spans="1:34" ht="15.4" hidden="1" customHeight="1" x14ac:dyDescent="0.2">
      <c r="A886" s="3" t="s">
        <v>1908</v>
      </c>
      <c r="B886" s="2" t="s">
        <v>1909</v>
      </c>
      <c r="C886" s="45" t="s">
        <v>1910</v>
      </c>
      <c r="D886" s="45"/>
      <c r="E886" s="45"/>
      <c r="F886" s="45"/>
      <c r="G886" s="45"/>
      <c r="H886" s="45"/>
      <c r="I886" s="45"/>
      <c r="J886" s="4">
        <f>ROUND(1,2)</f>
        <v>1</v>
      </c>
      <c r="K886" s="5">
        <f>ROUND(0*(1+L2/100),2)</f>
        <v>0</v>
      </c>
      <c r="L886" s="5">
        <f>ROUND(J886*K886,2)</f>
        <v>0</v>
      </c>
      <c r="AH886" s="58" t="s">
        <v>2198</v>
      </c>
    </row>
    <row r="887" spans="1:34" ht="55.5" hidden="1" customHeight="1" x14ac:dyDescent="0.2">
      <c r="A887" s="6"/>
      <c r="B887" s="6"/>
      <c r="C887" s="45" t="s">
        <v>1911</v>
      </c>
      <c r="D887" s="45"/>
      <c r="E887" s="45"/>
      <c r="F887" s="45"/>
      <c r="G887" s="45"/>
      <c r="H887" s="45"/>
      <c r="I887" s="45"/>
      <c r="J887" s="45"/>
      <c r="K887" s="45"/>
      <c r="L887" s="45"/>
      <c r="AH887" s="58" t="s">
        <v>2198</v>
      </c>
    </row>
    <row r="888" spans="1:34" ht="15.4" hidden="1" customHeight="1" x14ac:dyDescent="0.2">
      <c r="A888" s="3" t="s">
        <v>1912</v>
      </c>
      <c r="B888" s="2" t="s">
        <v>1913</v>
      </c>
      <c r="C888" s="45" t="s">
        <v>1914</v>
      </c>
      <c r="D888" s="45"/>
      <c r="E888" s="45"/>
      <c r="F888" s="45"/>
      <c r="G888" s="45"/>
      <c r="H888" s="45"/>
      <c r="I888" s="45"/>
      <c r="J888" s="4">
        <f>ROUND(1,2)</f>
        <v>1</v>
      </c>
      <c r="K888" s="5">
        <f>ROUND(0*(1+L2/100),2)</f>
        <v>0</v>
      </c>
      <c r="L888" s="5">
        <f>ROUND(J888*K888,2)</f>
        <v>0</v>
      </c>
      <c r="AG888" s="58" t="s">
        <v>2197</v>
      </c>
    </row>
    <row r="889" spans="1:34" ht="85.5" hidden="1" customHeight="1" x14ac:dyDescent="0.2">
      <c r="A889" s="6"/>
      <c r="B889" s="6"/>
      <c r="C889" s="45" t="s">
        <v>1915</v>
      </c>
      <c r="D889" s="45"/>
      <c r="E889" s="45"/>
      <c r="F889" s="45"/>
      <c r="G889" s="45"/>
      <c r="H889" s="45"/>
      <c r="I889" s="45"/>
      <c r="J889" s="45"/>
      <c r="K889" s="45"/>
      <c r="L889" s="45"/>
      <c r="AG889" s="58" t="s">
        <v>2197</v>
      </c>
    </row>
    <row r="890" spans="1:34" ht="15.4" hidden="1" customHeight="1" x14ac:dyDescent="0.2">
      <c r="A890" s="3" t="s">
        <v>1916</v>
      </c>
      <c r="B890" s="2" t="s">
        <v>1917</v>
      </c>
      <c r="C890" s="45" t="s">
        <v>1918</v>
      </c>
      <c r="D890" s="45"/>
      <c r="E890" s="45"/>
      <c r="F890" s="45"/>
      <c r="G890" s="45"/>
      <c r="H890" s="45"/>
      <c r="I890" s="45"/>
      <c r="J890" s="4">
        <f>ROUND(2,2)</f>
        <v>2</v>
      </c>
      <c r="K890" s="5">
        <f>ROUND(0*(1+L2/100),2)</f>
        <v>0</v>
      </c>
      <c r="L890" s="5">
        <f>ROUND(J890*K890,2)</f>
        <v>0</v>
      </c>
      <c r="AG890" s="58" t="s">
        <v>2197</v>
      </c>
    </row>
    <row r="891" spans="1:34" ht="85.5" hidden="1" customHeight="1" x14ac:dyDescent="0.2">
      <c r="A891" s="6"/>
      <c r="B891" s="6"/>
      <c r="C891" s="45" t="s">
        <v>1919</v>
      </c>
      <c r="D891" s="45"/>
      <c r="E891" s="45"/>
      <c r="F891" s="45"/>
      <c r="G891" s="45"/>
      <c r="H891" s="45"/>
      <c r="I891" s="45"/>
      <c r="J891" s="45"/>
      <c r="K891" s="45"/>
      <c r="L891" s="45"/>
      <c r="AG891" s="58" t="s">
        <v>2197</v>
      </c>
    </row>
    <row r="892" spans="1:34" ht="15.4" hidden="1" customHeight="1" x14ac:dyDescent="0.2">
      <c r="A892" s="3" t="s">
        <v>1920</v>
      </c>
      <c r="B892" s="2" t="s">
        <v>1921</v>
      </c>
      <c r="C892" s="45" t="s">
        <v>1922</v>
      </c>
      <c r="D892" s="45"/>
      <c r="E892" s="45"/>
      <c r="F892" s="45"/>
      <c r="G892" s="45"/>
      <c r="H892" s="45"/>
      <c r="I892" s="45"/>
      <c r="J892" s="4">
        <f>ROUND(1,2)</f>
        <v>1</v>
      </c>
      <c r="K892" s="5">
        <f>ROUND(0*(1+L2/100),2)</f>
        <v>0</v>
      </c>
      <c r="L892" s="5">
        <f>ROUND(J892*K892,2)</f>
        <v>0</v>
      </c>
      <c r="T892" s="58" t="s">
        <v>2184</v>
      </c>
    </row>
    <row r="893" spans="1:34" ht="187.5" hidden="1" customHeight="1" x14ac:dyDescent="0.2">
      <c r="A893" s="6"/>
      <c r="B893" s="6"/>
      <c r="C893" s="45" t="s">
        <v>1923</v>
      </c>
      <c r="D893" s="45"/>
      <c r="E893" s="45"/>
      <c r="F893" s="45"/>
      <c r="G893" s="45"/>
      <c r="H893" s="45"/>
      <c r="I893" s="45"/>
      <c r="J893" s="45"/>
      <c r="K893" s="45"/>
      <c r="L893" s="45"/>
      <c r="T893" s="58" t="s">
        <v>2184</v>
      </c>
    </row>
    <row r="894" spans="1:34" ht="15.4" hidden="1" customHeight="1" x14ac:dyDescent="0.2">
      <c r="A894" s="37" t="s">
        <v>1924</v>
      </c>
      <c r="B894" s="34"/>
      <c r="C894" s="46" t="s">
        <v>1925</v>
      </c>
      <c r="D894" s="46"/>
      <c r="E894" s="46"/>
      <c r="F894" s="46"/>
      <c r="G894" s="46"/>
      <c r="H894" s="46"/>
      <c r="I894" s="46"/>
      <c r="J894" s="34"/>
      <c r="K894" s="35">
        <v>0</v>
      </c>
      <c r="L894" s="35">
        <f>ROUND(K894,2)</f>
        <v>0</v>
      </c>
      <c r="AG894" s="58" t="s">
        <v>2197</v>
      </c>
    </row>
    <row r="895" spans="1:34" ht="15.4" hidden="1" customHeight="1" x14ac:dyDescent="0.2">
      <c r="A895" s="3" t="s">
        <v>1926</v>
      </c>
      <c r="B895" s="2" t="s">
        <v>1927</v>
      </c>
      <c r="C895" s="45" t="s">
        <v>1928</v>
      </c>
      <c r="D895" s="45"/>
      <c r="E895" s="45"/>
      <c r="F895" s="45"/>
      <c r="G895" s="45"/>
      <c r="H895" s="45"/>
      <c r="I895" s="45"/>
      <c r="J895" s="4">
        <f>ROUND(2,2)</f>
        <v>2</v>
      </c>
      <c r="K895" s="5">
        <f>ROUND(0*(1+L2/100),2)</f>
        <v>0</v>
      </c>
      <c r="L895" s="5">
        <f>ROUND(J895*K895,2)</f>
        <v>0</v>
      </c>
      <c r="AG895" s="58" t="s">
        <v>2197</v>
      </c>
    </row>
    <row r="896" spans="1:34" ht="48" hidden="1" customHeight="1" x14ac:dyDescent="0.2">
      <c r="A896" s="6"/>
      <c r="B896" s="6"/>
      <c r="C896" s="45" t="s">
        <v>1929</v>
      </c>
      <c r="D896" s="45"/>
      <c r="E896" s="45"/>
      <c r="F896" s="45"/>
      <c r="G896" s="45"/>
      <c r="H896" s="45"/>
      <c r="I896" s="45"/>
      <c r="J896" s="45"/>
      <c r="K896" s="45"/>
      <c r="L896" s="45"/>
      <c r="AG896" s="58" t="s">
        <v>2197</v>
      </c>
    </row>
    <row r="897" spans="1:38" ht="15.4" hidden="1" customHeight="1" x14ac:dyDescent="0.2">
      <c r="A897" s="3" t="s">
        <v>1930</v>
      </c>
      <c r="B897" s="2" t="s">
        <v>1931</v>
      </c>
      <c r="C897" s="45" t="s">
        <v>1932</v>
      </c>
      <c r="D897" s="45"/>
      <c r="E897" s="45"/>
      <c r="F897" s="45"/>
      <c r="G897" s="45"/>
      <c r="H897" s="45"/>
      <c r="I897" s="45"/>
      <c r="J897" s="4">
        <f>ROUND(1,2)</f>
        <v>1</v>
      </c>
      <c r="K897" s="5">
        <f>ROUND(0*(1+L2/100),2)</f>
        <v>0</v>
      </c>
      <c r="L897" s="5">
        <f>ROUND(J897*K897,2)</f>
        <v>0</v>
      </c>
      <c r="AG897" s="58" t="s">
        <v>2197</v>
      </c>
    </row>
    <row r="898" spans="1:38" ht="33.75" hidden="1" customHeight="1" x14ac:dyDescent="0.2">
      <c r="A898" s="6"/>
      <c r="B898" s="6"/>
      <c r="C898" s="45" t="s">
        <v>1933</v>
      </c>
      <c r="D898" s="45"/>
      <c r="E898" s="45"/>
      <c r="F898" s="45"/>
      <c r="G898" s="45"/>
      <c r="H898" s="45"/>
      <c r="I898" s="45"/>
      <c r="J898" s="45"/>
      <c r="K898" s="45"/>
      <c r="L898" s="45"/>
      <c r="AG898" s="58" t="s">
        <v>2197</v>
      </c>
    </row>
    <row r="899" spans="1:38" ht="15.4" hidden="1" customHeight="1" x14ac:dyDescent="0.2">
      <c r="A899" s="3" t="s">
        <v>1934</v>
      </c>
      <c r="B899" s="2" t="s">
        <v>1935</v>
      </c>
      <c r="C899" s="45" t="s">
        <v>1936</v>
      </c>
      <c r="D899" s="45"/>
      <c r="E899" s="45"/>
      <c r="F899" s="45"/>
      <c r="G899" s="45"/>
      <c r="H899" s="45"/>
      <c r="I899" s="45"/>
      <c r="J899" s="4">
        <f>SUM(J902:J903)</f>
        <v>2</v>
      </c>
      <c r="K899" s="5">
        <f>ROUND(0*(1+L2/100),2)</f>
        <v>0</v>
      </c>
      <c r="L899" s="5">
        <f>ROUND(J899*K899,2)</f>
        <v>0</v>
      </c>
      <c r="AG899" s="58" t="s">
        <v>2197</v>
      </c>
    </row>
    <row r="900" spans="1:38" ht="60.75" hidden="1" customHeight="1" x14ac:dyDescent="0.2">
      <c r="A900" s="6"/>
      <c r="B900" s="6"/>
      <c r="C900" s="45" t="s">
        <v>1937</v>
      </c>
      <c r="D900" s="45"/>
      <c r="E900" s="45"/>
      <c r="F900" s="45"/>
      <c r="G900" s="45"/>
      <c r="H900" s="45"/>
      <c r="I900" s="45"/>
      <c r="J900" s="45"/>
      <c r="K900" s="45"/>
      <c r="L900" s="45"/>
      <c r="AG900" s="58" t="s">
        <v>2197</v>
      </c>
    </row>
    <row r="901" spans="1:38" ht="15.2" hidden="1" customHeight="1" x14ac:dyDescent="0.2">
      <c r="A901" s="6"/>
      <c r="B901" s="6"/>
      <c r="C901" s="6"/>
      <c r="D901" s="7"/>
      <c r="E901" s="9" t="s">
        <v>1938</v>
      </c>
      <c r="F901" s="9" t="s">
        <v>1939</v>
      </c>
      <c r="G901" s="9" t="s">
        <v>1940</v>
      </c>
      <c r="H901" s="9" t="s">
        <v>1941</v>
      </c>
      <c r="I901" s="9" t="s">
        <v>1942</v>
      </c>
      <c r="J901" s="9" t="s">
        <v>1943</v>
      </c>
      <c r="K901" s="6"/>
      <c r="L901" s="6"/>
      <c r="AG901" s="58" t="s">
        <v>2197</v>
      </c>
    </row>
    <row r="902" spans="1:38" ht="15.2" hidden="1" customHeight="1" x14ac:dyDescent="0.2">
      <c r="A902" s="6"/>
      <c r="B902" s="6"/>
      <c r="C902" s="10"/>
      <c r="D902" s="11" t="s">
        <v>1944</v>
      </c>
      <c r="E902" s="12">
        <v>1</v>
      </c>
      <c r="F902" s="13"/>
      <c r="G902" s="13"/>
      <c r="H902" s="13"/>
      <c r="I902" s="15">
        <f>ROUND(E902,3)</f>
        <v>1</v>
      </c>
      <c r="J902" s="18"/>
      <c r="K902" s="6"/>
      <c r="L902" s="6"/>
      <c r="AG902" s="58" t="s">
        <v>2197</v>
      </c>
    </row>
    <row r="903" spans="1:38" ht="15.2" hidden="1" customHeight="1" x14ac:dyDescent="0.2">
      <c r="A903" s="6"/>
      <c r="B903" s="6"/>
      <c r="C903" s="10"/>
      <c r="D903" s="2" t="s">
        <v>1945</v>
      </c>
      <c r="E903" s="1">
        <v>1</v>
      </c>
      <c r="F903" s="5"/>
      <c r="G903" s="5"/>
      <c r="H903" s="5"/>
      <c r="I903" s="14">
        <f>ROUND(E903,3)</f>
        <v>1</v>
      </c>
      <c r="J903" s="16">
        <f>SUM(I902:I903)</f>
        <v>2</v>
      </c>
      <c r="K903" s="6"/>
      <c r="L903" s="6"/>
      <c r="AG903" s="58" t="s">
        <v>2197</v>
      </c>
    </row>
    <row r="904" spans="1:38" ht="15.4" hidden="1" customHeight="1" x14ac:dyDescent="0.2">
      <c r="A904" s="3" t="s">
        <v>1946</v>
      </c>
      <c r="B904" s="2" t="s">
        <v>1947</v>
      </c>
      <c r="C904" s="45" t="s">
        <v>1948</v>
      </c>
      <c r="D904" s="45"/>
      <c r="E904" s="45"/>
      <c r="F904" s="45"/>
      <c r="G904" s="45"/>
      <c r="H904" s="45"/>
      <c r="I904" s="45"/>
      <c r="J904" s="4">
        <f>SUM(J907:J907)</f>
        <v>1</v>
      </c>
      <c r="K904" s="5">
        <f>ROUND(0*(1+L2/100),2)</f>
        <v>0</v>
      </c>
      <c r="L904" s="5">
        <f>ROUND(J904*K904,2)</f>
        <v>0</v>
      </c>
      <c r="AG904" s="58" t="s">
        <v>2197</v>
      </c>
    </row>
    <row r="905" spans="1:38" ht="40.5" hidden="1" customHeight="1" x14ac:dyDescent="0.2">
      <c r="A905" s="6"/>
      <c r="B905" s="6"/>
      <c r="C905" s="45" t="s">
        <v>1949</v>
      </c>
      <c r="D905" s="45"/>
      <c r="E905" s="45"/>
      <c r="F905" s="45"/>
      <c r="G905" s="45"/>
      <c r="H905" s="45"/>
      <c r="I905" s="45"/>
      <c r="J905" s="45"/>
      <c r="K905" s="45"/>
      <c r="L905" s="45"/>
      <c r="AG905" s="58" t="s">
        <v>2197</v>
      </c>
    </row>
    <row r="906" spans="1:38" ht="15.2" hidden="1" customHeight="1" x14ac:dyDescent="0.2">
      <c r="A906" s="6"/>
      <c r="B906" s="6"/>
      <c r="C906" s="6"/>
      <c r="D906" s="7"/>
      <c r="E906" s="9" t="s">
        <v>1950</v>
      </c>
      <c r="F906" s="9" t="s">
        <v>1951</v>
      </c>
      <c r="G906" s="9" t="s">
        <v>1952</v>
      </c>
      <c r="H906" s="9" t="s">
        <v>1953</v>
      </c>
      <c r="I906" s="9" t="s">
        <v>1954</v>
      </c>
      <c r="J906" s="9" t="s">
        <v>1955</v>
      </c>
      <c r="K906" s="6"/>
      <c r="L906" s="6"/>
      <c r="AG906" s="58" t="s">
        <v>2197</v>
      </c>
    </row>
    <row r="907" spans="1:38" ht="15.2" hidden="1" customHeight="1" x14ac:dyDescent="0.2">
      <c r="A907" s="6"/>
      <c r="B907" s="6"/>
      <c r="C907" s="10"/>
      <c r="D907" s="11" t="s">
        <v>1956</v>
      </c>
      <c r="E907" s="12">
        <v>1</v>
      </c>
      <c r="F907" s="13"/>
      <c r="G907" s="13"/>
      <c r="H907" s="13"/>
      <c r="I907" s="15">
        <f>ROUND(E907,3)</f>
        <v>1</v>
      </c>
      <c r="J907" s="17">
        <f>SUM(I907:I907)</f>
        <v>1</v>
      </c>
      <c r="K907" s="6"/>
      <c r="L907" s="6"/>
      <c r="AG907" s="58" t="s">
        <v>2197</v>
      </c>
    </row>
    <row r="908" spans="1:38" ht="15.4" hidden="1" customHeight="1" x14ac:dyDescent="0.2">
      <c r="A908" s="3" t="s">
        <v>1957</v>
      </c>
      <c r="B908" s="2" t="s">
        <v>1958</v>
      </c>
      <c r="C908" s="45" t="s">
        <v>1959</v>
      </c>
      <c r="D908" s="45"/>
      <c r="E908" s="45"/>
      <c r="F908" s="45"/>
      <c r="G908" s="45"/>
      <c r="H908" s="45"/>
      <c r="I908" s="45"/>
      <c r="J908" s="4">
        <f>ROUND(4,2)</f>
        <v>4</v>
      </c>
      <c r="K908" s="5">
        <f>ROUND(0*(1+L2/100),2)</f>
        <v>0</v>
      </c>
      <c r="L908" s="5">
        <f>ROUND(J908*K908,2)</f>
        <v>0</v>
      </c>
      <c r="AG908" s="58" t="s">
        <v>2197</v>
      </c>
    </row>
    <row r="909" spans="1:38" ht="60" hidden="1" customHeight="1" x14ac:dyDescent="0.2">
      <c r="A909" s="6"/>
      <c r="B909" s="6"/>
      <c r="C909" s="45" t="s">
        <v>1960</v>
      </c>
      <c r="D909" s="45"/>
      <c r="E909" s="45"/>
      <c r="F909" s="45"/>
      <c r="G909" s="45"/>
      <c r="H909" s="45"/>
      <c r="I909" s="45"/>
      <c r="J909" s="45"/>
      <c r="K909" s="45"/>
      <c r="L909" s="45"/>
      <c r="AG909" s="58" t="s">
        <v>2197</v>
      </c>
    </row>
    <row r="910" spans="1:38" ht="15.4" hidden="1" customHeight="1" x14ac:dyDescent="0.2">
      <c r="A910" s="3" t="s">
        <v>1961</v>
      </c>
      <c r="B910" s="2" t="s">
        <v>1962</v>
      </c>
      <c r="C910" s="45" t="s">
        <v>1963</v>
      </c>
      <c r="D910" s="45"/>
      <c r="E910" s="45"/>
      <c r="F910" s="45"/>
      <c r="G910" s="45"/>
      <c r="H910" s="45"/>
      <c r="I910" s="45"/>
      <c r="J910" s="4">
        <f>ROUND(1,2)</f>
        <v>1</v>
      </c>
      <c r="K910" s="5">
        <f>ROUND(0*(1+L2/100),2)</f>
        <v>0</v>
      </c>
      <c r="L910" s="5">
        <f>ROUND(J910*K910,2)</f>
        <v>0</v>
      </c>
      <c r="AG910" s="58" t="s">
        <v>2197</v>
      </c>
    </row>
    <row r="911" spans="1:38" ht="12.2" hidden="1" customHeight="1" x14ac:dyDescent="0.2">
      <c r="A911" s="6"/>
      <c r="B911" s="6"/>
      <c r="C911" s="45" t="s">
        <v>1964</v>
      </c>
      <c r="D911" s="45"/>
      <c r="E911" s="45"/>
      <c r="F911" s="45"/>
      <c r="G911" s="45"/>
      <c r="H911" s="45"/>
      <c r="I911" s="45"/>
      <c r="J911" s="45"/>
      <c r="K911" s="45"/>
      <c r="L911" s="45"/>
      <c r="AG911" s="58" t="s">
        <v>2197</v>
      </c>
    </row>
    <row r="912" spans="1:38" ht="15.4" hidden="1" customHeight="1" x14ac:dyDescent="0.2">
      <c r="A912" s="37" t="s">
        <v>1965</v>
      </c>
      <c r="B912" s="34"/>
      <c r="C912" s="46" t="s">
        <v>1966</v>
      </c>
      <c r="D912" s="46"/>
      <c r="E912" s="46"/>
      <c r="F912" s="46"/>
      <c r="G912" s="46"/>
      <c r="H912" s="46"/>
      <c r="I912" s="46"/>
      <c r="J912" s="34"/>
      <c r="K912" s="35">
        <v>0</v>
      </c>
      <c r="L912" s="35">
        <f>ROUND(K912,2)</f>
        <v>0</v>
      </c>
      <c r="AL912" s="58" t="s">
        <v>2203</v>
      </c>
    </row>
    <row r="913" spans="1:38" ht="15.4" hidden="1" customHeight="1" x14ac:dyDescent="0.2">
      <c r="A913" s="3" t="s">
        <v>1967</v>
      </c>
      <c r="B913" s="2" t="s">
        <v>1968</v>
      </c>
      <c r="C913" s="45" t="s">
        <v>1969</v>
      </c>
      <c r="D913" s="45"/>
      <c r="E913" s="45"/>
      <c r="F913" s="45"/>
      <c r="G913" s="45"/>
      <c r="H913" s="45"/>
      <c r="I913" s="45"/>
      <c r="J913" s="4">
        <f>ROUND(1,2)</f>
        <v>1</v>
      </c>
      <c r="K913" s="5">
        <f>ROUND(0*(1+L2/100),2)</f>
        <v>0</v>
      </c>
      <c r="L913" s="5">
        <f>ROUND(J913*K913,2)</f>
        <v>0</v>
      </c>
      <c r="AL913" s="58" t="s">
        <v>2203</v>
      </c>
    </row>
    <row r="914" spans="1:38" ht="48" hidden="1" customHeight="1" x14ac:dyDescent="0.2">
      <c r="A914" s="6"/>
      <c r="B914" s="6"/>
      <c r="C914" s="45" t="s">
        <v>1970</v>
      </c>
      <c r="D914" s="45"/>
      <c r="E914" s="45"/>
      <c r="F914" s="45"/>
      <c r="G914" s="45"/>
      <c r="H914" s="45"/>
      <c r="I914" s="45"/>
      <c r="J914" s="45"/>
      <c r="K914" s="45"/>
      <c r="L914" s="45"/>
      <c r="AL914" s="58" t="s">
        <v>2203</v>
      </c>
    </row>
    <row r="915" spans="1:38" ht="15.4" hidden="1" customHeight="1" x14ac:dyDescent="0.2">
      <c r="A915" s="31" t="s">
        <v>1971</v>
      </c>
      <c r="B915" s="28"/>
      <c r="C915" s="44" t="s">
        <v>1972</v>
      </c>
      <c r="D915" s="44"/>
      <c r="E915" s="44"/>
      <c r="F915" s="44"/>
      <c r="G915" s="44"/>
      <c r="H915" s="44"/>
      <c r="I915" s="44"/>
      <c r="J915" s="28"/>
      <c r="K915" s="29">
        <v>0</v>
      </c>
      <c r="L915" s="29">
        <f>ROUND(K915,2)</f>
        <v>0</v>
      </c>
      <c r="AI915" s="58" t="s">
        <v>2199</v>
      </c>
    </row>
    <row r="916" spans="1:38" ht="15.4" hidden="1" customHeight="1" x14ac:dyDescent="0.2">
      <c r="A916" s="36" t="s">
        <v>1973</v>
      </c>
      <c r="B916" s="32"/>
      <c r="C916" s="47" t="s">
        <v>1974</v>
      </c>
      <c r="D916" s="47"/>
      <c r="E916" s="47"/>
      <c r="F916" s="47"/>
      <c r="G916" s="47"/>
      <c r="H916" s="47"/>
      <c r="I916" s="47"/>
      <c r="J916" s="32"/>
      <c r="K916" s="33">
        <v>0</v>
      </c>
      <c r="L916" s="33">
        <f>ROUND(K916,2)</f>
        <v>0</v>
      </c>
      <c r="AI916" s="58" t="s">
        <v>2199</v>
      </c>
    </row>
    <row r="917" spans="1:38" ht="15.4" hidden="1" customHeight="1" x14ac:dyDescent="0.2">
      <c r="A917" s="3" t="s">
        <v>1975</v>
      </c>
      <c r="B917" s="2" t="s">
        <v>1976</v>
      </c>
      <c r="C917" s="45" t="s">
        <v>1977</v>
      </c>
      <c r="D917" s="45"/>
      <c r="E917" s="45"/>
      <c r="F917" s="45"/>
      <c r="G917" s="45"/>
      <c r="H917" s="45"/>
      <c r="I917" s="45"/>
      <c r="J917" s="4">
        <f>ROUND(1,2)</f>
        <v>1</v>
      </c>
      <c r="K917" s="5">
        <f>ROUND(0*(1+L2/100),2)</f>
        <v>0</v>
      </c>
      <c r="L917" s="5">
        <f>ROUND(J917*K917,2)</f>
        <v>0</v>
      </c>
      <c r="AI917" s="58" t="s">
        <v>2199</v>
      </c>
    </row>
    <row r="918" spans="1:38" ht="108.75" hidden="1" customHeight="1" x14ac:dyDescent="0.2">
      <c r="A918" s="6"/>
      <c r="B918" s="6"/>
      <c r="C918" s="45" t="s">
        <v>1978</v>
      </c>
      <c r="D918" s="45"/>
      <c r="E918" s="45"/>
      <c r="F918" s="45"/>
      <c r="G918" s="45"/>
      <c r="H918" s="45"/>
      <c r="I918" s="45"/>
      <c r="J918" s="45"/>
      <c r="K918" s="45"/>
      <c r="L918" s="45"/>
      <c r="AI918" s="58" t="s">
        <v>2199</v>
      </c>
    </row>
    <row r="919" spans="1:38" ht="15.4" hidden="1" customHeight="1" x14ac:dyDescent="0.2">
      <c r="A919" s="3" t="s">
        <v>1979</v>
      </c>
      <c r="B919" s="2" t="s">
        <v>1980</v>
      </c>
      <c r="C919" s="45" t="s">
        <v>1981</v>
      </c>
      <c r="D919" s="45"/>
      <c r="E919" s="45"/>
      <c r="F919" s="45"/>
      <c r="G919" s="45"/>
      <c r="H919" s="45"/>
      <c r="I919" s="45"/>
      <c r="J919" s="4">
        <f>ROUND(1,2)</f>
        <v>1</v>
      </c>
      <c r="K919" s="5">
        <f>ROUND(0*(1+L2/100),2)</f>
        <v>0</v>
      </c>
      <c r="L919" s="5">
        <f>ROUND(J919*K919,2)</f>
        <v>0</v>
      </c>
      <c r="AI919" s="58" t="s">
        <v>2199</v>
      </c>
    </row>
    <row r="920" spans="1:38" ht="213.75" hidden="1" customHeight="1" x14ac:dyDescent="0.2">
      <c r="A920" s="6"/>
      <c r="B920" s="6"/>
      <c r="C920" s="45" t="s">
        <v>1982</v>
      </c>
      <c r="D920" s="45"/>
      <c r="E920" s="45"/>
      <c r="F920" s="45"/>
      <c r="G920" s="45"/>
      <c r="H920" s="45"/>
      <c r="I920" s="45"/>
      <c r="J920" s="45"/>
      <c r="K920" s="45"/>
      <c r="L920" s="45"/>
      <c r="AI920" s="58" t="s">
        <v>2199</v>
      </c>
    </row>
    <row r="921" spans="1:38" ht="15.4" hidden="1" customHeight="1" x14ac:dyDescent="0.2">
      <c r="A921" s="3" t="s">
        <v>1983</v>
      </c>
      <c r="B921" s="2" t="s">
        <v>1984</v>
      </c>
      <c r="C921" s="45" t="s">
        <v>1985</v>
      </c>
      <c r="D921" s="45"/>
      <c r="E921" s="45"/>
      <c r="F921" s="45"/>
      <c r="G921" s="45"/>
      <c r="H921" s="45"/>
      <c r="I921" s="45"/>
      <c r="J921" s="4">
        <f>ROUND(1,2)</f>
        <v>1</v>
      </c>
      <c r="K921" s="5">
        <f>ROUND(0*(1+L2/100),2)</f>
        <v>0</v>
      </c>
      <c r="L921" s="5">
        <f>ROUND(J921*K921,2)</f>
        <v>0</v>
      </c>
      <c r="AI921" s="58" t="s">
        <v>2199</v>
      </c>
    </row>
    <row r="922" spans="1:38" ht="55.5" hidden="1" customHeight="1" x14ac:dyDescent="0.2">
      <c r="A922" s="6"/>
      <c r="B922" s="6"/>
      <c r="C922" s="45" t="s">
        <v>1986</v>
      </c>
      <c r="D922" s="45"/>
      <c r="E922" s="45"/>
      <c r="F922" s="45"/>
      <c r="G922" s="45"/>
      <c r="H922" s="45"/>
      <c r="I922" s="45"/>
      <c r="J922" s="45"/>
      <c r="K922" s="45"/>
      <c r="L922" s="45"/>
      <c r="AI922" s="58" t="s">
        <v>2199</v>
      </c>
    </row>
    <row r="923" spans="1:38" ht="15.4" hidden="1" customHeight="1" x14ac:dyDescent="0.2">
      <c r="A923" s="3" t="s">
        <v>1987</v>
      </c>
      <c r="B923" s="2" t="s">
        <v>1988</v>
      </c>
      <c r="C923" s="45" t="s">
        <v>1989</v>
      </c>
      <c r="D923" s="45"/>
      <c r="E923" s="45"/>
      <c r="F923" s="45"/>
      <c r="G923" s="45"/>
      <c r="H923" s="45"/>
      <c r="I923" s="45"/>
      <c r="J923" s="4">
        <f>ROUND(1,2)</f>
        <v>1</v>
      </c>
      <c r="K923" s="5">
        <f>ROUND(0*(1+L2/100),2)</f>
        <v>0</v>
      </c>
      <c r="L923" s="5">
        <f>ROUND(J923*K923,2)</f>
        <v>0</v>
      </c>
      <c r="AI923" s="58" t="s">
        <v>2199</v>
      </c>
    </row>
    <row r="924" spans="1:38" ht="12.2" hidden="1" customHeight="1" x14ac:dyDescent="0.2">
      <c r="A924" s="6"/>
      <c r="B924" s="6"/>
      <c r="C924" s="45" t="s">
        <v>1990</v>
      </c>
      <c r="D924" s="45"/>
      <c r="E924" s="45"/>
      <c r="F924" s="45"/>
      <c r="G924" s="45"/>
      <c r="H924" s="45"/>
      <c r="I924" s="45"/>
      <c r="J924" s="45"/>
      <c r="K924" s="45"/>
      <c r="L924" s="45"/>
      <c r="AI924" s="58" t="s">
        <v>2199</v>
      </c>
    </row>
    <row r="925" spans="1:38" ht="15.4" hidden="1" customHeight="1" x14ac:dyDescent="0.2">
      <c r="A925" s="37" t="s">
        <v>1991</v>
      </c>
      <c r="B925" s="34"/>
      <c r="C925" s="46" t="s">
        <v>1992</v>
      </c>
      <c r="D925" s="46"/>
      <c r="E925" s="46"/>
      <c r="F925" s="46"/>
      <c r="G925" s="46"/>
      <c r="H925" s="46"/>
      <c r="I925" s="46"/>
      <c r="J925" s="34"/>
      <c r="K925" s="35">
        <v>0</v>
      </c>
      <c r="L925" s="35">
        <f>ROUND(K925,2)</f>
        <v>0</v>
      </c>
      <c r="N925" s="58" t="s">
        <v>2176</v>
      </c>
      <c r="O925" s="58" t="s">
        <v>2179</v>
      </c>
      <c r="Q925" s="58" t="s">
        <v>2181</v>
      </c>
      <c r="AD925" s="58" t="s">
        <v>2194</v>
      </c>
    </row>
    <row r="926" spans="1:38" ht="15.4" hidden="1" customHeight="1" x14ac:dyDescent="0.2">
      <c r="A926" s="3" t="s">
        <v>1993</v>
      </c>
      <c r="B926" s="2" t="s">
        <v>1994</v>
      </c>
      <c r="C926" s="45" t="s">
        <v>1995</v>
      </c>
      <c r="D926" s="45"/>
      <c r="E926" s="45"/>
      <c r="F926" s="45"/>
      <c r="G926" s="45"/>
      <c r="H926" s="45"/>
      <c r="I926" s="45"/>
      <c r="J926" s="4">
        <f>SUM(J929:J930)</f>
        <v>3.3119999999999998</v>
      </c>
      <c r="K926" s="5">
        <f>ROUND(0*(1+L2/100),2)</f>
        <v>0</v>
      </c>
      <c r="L926" s="5">
        <f>ROUND(J926*K926,2)</f>
        <v>0</v>
      </c>
      <c r="N926" s="58" t="s">
        <v>2176</v>
      </c>
    </row>
    <row r="927" spans="1:38" ht="57" hidden="1" customHeight="1" x14ac:dyDescent="0.2">
      <c r="A927" s="6"/>
      <c r="B927" s="6"/>
      <c r="C927" s="45" t="s">
        <v>1996</v>
      </c>
      <c r="D927" s="45"/>
      <c r="E927" s="45"/>
      <c r="F927" s="45"/>
      <c r="G927" s="45"/>
      <c r="H927" s="45"/>
      <c r="I927" s="45"/>
      <c r="J927" s="45"/>
      <c r="K927" s="45"/>
      <c r="L927" s="45"/>
      <c r="N927" s="58" t="s">
        <v>2176</v>
      </c>
    </row>
    <row r="928" spans="1:38" ht="15.2" hidden="1" customHeight="1" x14ac:dyDescent="0.2">
      <c r="A928" s="6"/>
      <c r="B928" s="6"/>
      <c r="C928" s="6"/>
      <c r="D928" s="7"/>
      <c r="E928" s="9" t="s">
        <v>1997</v>
      </c>
      <c r="F928" s="9" t="s">
        <v>1998</v>
      </c>
      <c r="G928" s="9" t="s">
        <v>1999</v>
      </c>
      <c r="H928" s="9" t="s">
        <v>2000</v>
      </c>
      <c r="I928" s="9" t="s">
        <v>2001</v>
      </c>
      <c r="J928" s="9" t="s">
        <v>2002</v>
      </c>
      <c r="K928" s="6"/>
      <c r="L928" s="6"/>
      <c r="N928" s="58" t="s">
        <v>2176</v>
      </c>
    </row>
    <row r="929" spans="1:17" ht="22.5" hidden="1" x14ac:dyDescent="0.2">
      <c r="A929" s="6"/>
      <c r="B929" s="6"/>
      <c r="C929" s="10"/>
      <c r="D929" s="11" t="s">
        <v>2003</v>
      </c>
      <c r="E929" s="12"/>
      <c r="F929" s="13"/>
      <c r="G929" s="13"/>
      <c r="H929" s="13"/>
      <c r="I929" s="19" t="s">
        <v>2004</v>
      </c>
      <c r="J929" s="18"/>
      <c r="K929" s="6"/>
      <c r="L929" s="6"/>
      <c r="N929" s="58" t="s">
        <v>2176</v>
      </c>
    </row>
    <row r="930" spans="1:17" hidden="1" x14ac:dyDescent="0.2">
      <c r="A930" s="6"/>
      <c r="B930" s="6"/>
      <c r="C930" s="10"/>
      <c r="D930" s="2" t="s">
        <v>2005</v>
      </c>
      <c r="E930" s="1">
        <v>1.2</v>
      </c>
      <c r="F930" s="5">
        <v>11.5</v>
      </c>
      <c r="G930" s="5">
        <v>0.6</v>
      </c>
      <c r="H930" s="5">
        <v>0.4</v>
      </c>
      <c r="I930" s="14">
        <f>ROUND(E930*F930*G930*H930,3)</f>
        <v>3.3119999999999998</v>
      </c>
      <c r="J930" s="16">
        <f>SUM(I929:I930)</f>
        <v>3.3119999999999998</v>
      </c>
      <c r="K930" s="6"/>
      <c r="L930" s="6"/>
      <c r="N930" s="58" t="s">
        <v>2176</v>
      </c>
    </row>
    <row r="931" spans="1:17" ht="15.4" hidden="1" customHeight="1" x14ac:dyDescent="0.2">
      <c r="A931" s="3" t="s">
        <v>2006</v>
      </c>
      <c r="B931" s="2" t="s">
        <v>2007</v>
      </c>
      <c r="C931" s="45" t="s">
        <v>2008</v>
      </c>
      <c r="D931" s="45"/>
      <c r="E931" s="45"/>
      <c r="F931" s="45"/>
      <c r="G931" s="45"/>
      <c r="H931" s="45"/>
      <c r="I931" s="45"/>
      <c r="J931" s="4">
        <f>SUM(J934:J935)</f>
        <v>1.84</v>
      </c>
      <c r="K931" s="5">
        <f>ROUND(0*(1+L2/100),2)</f>
        <v>0</v>
      </c>
      <c r="L931" s="5">
        <f>ROUND(J931*K931,2)</f>
        <v>0</v>
      </c>
      <c r="O931" s="58" t="s">
        <v>2179</v>
      </c>
    </row>
    <row r="932" spans="1:17" ht="28.5" hidden="1" customHeight="1" x14ac:dyDescent="0.2">
      <c r="A932" s="6"/>
      <c r="B932" s="6"/>
      <c r="C932" s="45" t="s">
        <v>2009</v>
      </c>
      <c r="D932" s="45"/>
      <c r="E932" s="45"/>
      <c r="F932" s="45"/>
      <c r="G932" s="45"/>
      <c r="H932" s="45"/>
      <c r="I932" s="45"/>
      <c r="J932" s="45"/>
      <c r="K932" s="45"/>
      <c r="L932" s="45"/>
      <c r="O932" s="58" t="s">
        <v>2179</v>
      </c>
    </row>
    <row r="933" spans="1:17" ht="15.2" hidden="1" customHeight="1" x14ac:dyDescent="0.2">
      <c r="A933" s="6"/>
      <c r="B933" s="6"/>
      <c r="C933" s="6"/>
      <c r="D933" s="7"/>
      <c r="E933" s="9" t="s">
        <v>2010</v>
      </c>
      <c r="F933" s="9" t="s">
        <v>2011</v>
      </c>
      <c r="G933" s="9" t="s">
        <v>2012</v>
      </c>
      <c r="H933" s="9" t="s">
        <v>2013</v>
      </c>
      <c r="I933" s="9" t="s">
        <v>2014</v>
      </c>
      <c r="J933" s="9" t="s">
        <v>2015</v>
      </c>
      <c r="K933" s="6"/>
      <c r="L933" s="6"/>
      <c r="O933" s="58" t="s">
        <v>2179</v>
      </c>
    </row>
    <row r="934" spans="1:17" ht="22.5" hidden="1" x14ac:dyDescent="0.2">
      <c r="A934" s="6"/>
      <c r="B934" s="6"/>
      <c r="C934" s="10"/>
      <c r="D934" s="11" t="s">
        <v>2016</v>
      </c>
      <c r="E934" s="12"/>
      <c r="F934" s="13"/>
      <c r="G934" s="13"/>
      <c r="H934" s="13"/>
      <c r="I934" s="19" t="s">
        <v>2017</v>
      </c>
      <c r="J934" s="18"/>
      <c r="K934" s="6"/>
      <c r="L934" s="6"/>
      <c r="O934" s="58" t="s">
        <v>2179</v>
      </c>
    </row>
    <row r="935" spans="1:17" hidden="1" x14ac:dyDescent="0.2">
      <c r="A935" s="6"/>
      <c r="B935" s="6"/>
      <c r="C935" s="10"/>
      <c r="D935" s="2" t="s">
        <v>2018</v>
      </c>
      <c r="E935" s="1">
        <v>1</v>
      </c>
      <c r="F935" s="5">
        <v>11.5</v>
      </c>
      <c r="G935" s="5">
        <v>0.4</v>
      </c>
      <c r="H935" s="5">
        <v>0.4</v>
      </c>
      <c r="I935" s="14">
        <f>ROUND(E935*F935*G935*H935,3)</f>
        <v>1.84</v>
      </c>
      <c r="J935" s="16">
        <f>SUM(I934:I935)</f>
        <v>1.84</v>
      </c>
      <c r="K935" s="6"/>
      <c r="L935" s="6"/>
      <c r="O935" s="58" t="s">
        <v>2179</v>
      </c>
    </row>
    <row r="936" spans="1:17" ht="15.4" hidden="1" customHeight="1" x14ac:dyDescent="0.2">
      <c r="A936" s="3" t="s">
        <v>2019</v>
      </c>
      <c r="B936" s="2" t="s">
        <v>2020</v>
      </c>
      <c r="C936" s="45" t="s">
        <v>2021</v>
      </c>
      <c r="D936" s="45"/>
      <c r="E936" s="45"/>
      <c r="F936" s="45"/>
      <c r="G936" s="45"/>
      <c r="H936" s="45"/>
      <c r="I936" s="45"/>
      <c r="J936" s="4">
        <f>SUM(J939:J939)</f>
        <v>2.76</v>
      </c>
      <c r="K936" s="5">
        <f>ROUND(0*(1+L2/100),2)</f>
        <v>0</v>
      </c>
      <c r="L936" s="5">
        <f>ROUND(J936*K936,2)</f>
        <v>0</v>
      </c>
      <c r="O936" s="58" t="s">
        <v>2179</v>
      </c>
      <c r="Q936" s="58" t="s">
        <v>2181</v>
      </c>
    </row>
    <row r="937" spans="1:17" ht="42.75" hidden="1" customHeight="1" x14ac:dyDescent="0.2">
      <c r="A937" s="6"/>
      <c r="B937" s="6"/>
      <c r="C937" s="45" t="s">
        <v>2022</v>
      </c>
      <c r="D937" s="45"/>
      <c r="E937" s="45"/>
      <c r="F937" s="45"/>
      <c r="G937" s="45"/>
      <c r="H937" s="45"/>
      <c r="I937" s="45"/>
      <c r="J937" s="45"/>
      <c r="K937" s="45"/>
      <c r="L937" s="45"/>
      <c r="O937" s="58" t="s">
        <v>2179</v>
      </c>
      <c r="Q937" s="58" t="s">
        <v>2181</v>
      </c>
    </row>
    <row r="938" spans="1:17" ht="15.2" hidden="1" customHeight="1" x14ac:dyDescent="0.2">
      <c r="A938" s="6"/>
      <c r="B938" s="6"/>
      <c r="C938" s="6"/>
      <c r="D938" s="7"/>
      <c r="E938" s="9" t="s">
        <v>2023</v>
      </c>
      <c r="F938" s="9" t="s">
        <v>2024</v>
      </c>
      <c r="G938" s="9" t="s">
        <v>2025</v>
      </c>
      <c r="H938" s="9" t="s">
        <v>2026</v>
      </c>
      <c r="I938" s="9" t="s">
        <v>2027</v>
      </c>
      <c r="J938" s="9" t="s">
        <v>2028</v>
      </c>
      <c r="K938" s="6"/>
      <c r="L938" s="6"/>
      <c r="O938" s="58" t="s">
        <v>2179</v>
      </c>
      <c r="Q938" s="58" t="s">
        <v>2181</v>
      </c>
    </row>
    <row r="939" spans="1:17" ht="15.2" hidden="1" customHeight="1" x14ac:dyDescent="0.2">
      <c r="A939" s="6"/>
      <c r="B939" s="6"/>
      <c r="C939" s="10"/>
      <c r="D939" s="11" t="s">
        <v>2029</v>
      </c>
      <c r="E939" s="12">
        <v>1</v>
      </c>
      <c r="F939" s="13">
        <v>11.5</v>
      </c>
      <c r="G939" s="13">
        <v>0.6</v>
      </c>
      <c r="H939" s="13">
        <v>0.4</v>
      </c>
      <c r="I939" s="15">
        <f>ROUND(E939*F939*G939*H939,3)</f>
        <v>2.76</v>
      </c>
      <c r="J939" s="17">
        <f>SUM(I939:I939)</f>
        <v>2.76</v>
      </c>
      <c r="K939" s="6"/>
      <c r="L939" s="6"/>
      <c r="O939" s="58" t="s">
        <v>2179</v>
      </c>
      <c r="Q939" s="58" t="s">
        <v>2181</v>
      </c>
    </row>
    <row r="940" spans="1:17" ht="15.4" hidden="1" customHeight="1" x14ac:dyDescent="0.2">
      <c r="A940" s="3" t="s">
        <v>2030</v>
      </c>
      <c r="B940" s="2" t="s">
        <v>2031</v>
      </c>
      <c r="C940" s="45" t="s">
        <v>2032</v>
      </c>
      <c r="D940" s="45"/>
      <c r="E940" s="45"/>
      <c r="F940" s="45"/>
      <c r="G940" s="45"/>
      <c r="H940" s="45"/>
      <c r="I940" s="45"/>
      <c r="J940" s="4">
        <f>SUM(J943:J944)</f>
        <v>10</v>
      </c>
      <c r="K940" s="5">
        <f>ROUND(0*(1+L2/100),2)</f>
        <v>0</v>
      </c>
      <c r="L940" s="5">
        <f>ROUND(J940*K940,2)</f>
        <v>0</v>
      </c>
    </row>
    <row r="941" spans="1:17" ht="42.75" hidden="1" customHeight="1" x14ac:dyDescent="0.2">
      <c r="A941" s="6"/>
      <c r="B941" s="6"/>
      <c r="C941" s="45" t="s">
        <v>2033</v>
      </c>
      <c r="D941" s="45"/>
      <c r="E941" s="45"/>
      <c r="F941" s="45"/>
      <c r="G941" s="45"/>
      <c r="H941" s="45"/>
      <c r="I941" s="45"/>
      <c r="J941" s="45"/>
      <c r="K941" s="45"/>
      <c r="L941" s="45"/>
    </row>
    <row r="942" spans="1:17" ht="15.2" hidden="1" customHeight="1" x14ac:dyDescent="0.2">
      <c r="A942" s="6"/>
      <c r="B942" s="6"/>
      <c r="C942" s="6"/>
      <c r="D942" s="7"/>
      <c r="E942" s="9" t="s">
        <v>2034</v>
      </c>
      <c r="F942" s="9" t="s">
        <v>2035</v>
      </c>
      <c r="G942" s="9" t="s">
        <v>2036</v>
      </c>
      <c r="H942" s="9" t="s">
        <v>2037</v>
      </c>
      <c r="I942" s="9" t="s">
        <v>2038</v>
      </c>
      <c r="J942" s="9" t="s">
        <v>2039</v>
      </c>
      <c r="K942" s="6"/>
      <c r="L942" s="6"/>
    </row>
    <row r="943" spans="1:17" ht="22.5" hidden="1" x14ac:dyDescent="0.2">
      <c r="A943" s="6"/>
      <c r="B943" s="6"/>
      <c r="C943" s="10"/>
      <c r="D943" s="11" t="s">
        <v>2040</v>
      </c>
      <c r="E943" s="12">
        <v>6.2</v>
      </c>
      <c r="F943" s="13"/>
      <c r="G943" s="13"/>
      <c r="H943" s="13"/>
      <c r="I943" s="15">
        <f>ROUND(E943,3)</f>
        <v>6.2</v>
      </c>
      <c r="J943" s="18"/>
      <c r="K943" s="6"/>
      <c r="L943" s="6"/>
    </row>
    <row r="944" spans="1:17" ht="22.5" hidden="1" x14ac:dyDescent="0.2">
      <c r="A944" s="6"/>
      <c r="B944" s="6"/>
      <c r="C944" s="10"/>
      <c r="D944" s="2" t="s">
        <v>2041</v>
      </c>
      <c r="E944" s="1">
        <v>3.8</v>
      </c>
      <c r="F944" s="5"/>
      <c r="G944" s="5"/>
      <c r="H944" s="5"/>
      <c r="I944" s="14">
        <f>ROUND(E944,3)</f>
        <v>3.8</v>
      </c>
      <c r="J944" s="16">
        <f>SUM(I943:I944)</f>
        <v>10</v>
      </c>
      <c r="K944" s="6"/>
      <c r="L944" s="6"/>
    </row>
    <row r="945" spans="1:12" ht="15.4" hidden="1" customHeight="1" x14ac:dyDescent="0.2">
      <c r="A945" s="3" t="s">
        <v>2042</v>
      </c>
      <c r="B945" s="2" t="s">
        <v>2043</v>
      </c>
      <c r="C945" s="45" t="s">
        <v>2044</v>
      </c>
      <c r="D945" s="45"/>
      <c r="E945" s="45"/>
      <c r="F945" s="45"/>
      <c r="G945" s="45"/>
      <c r="H945" s="45"/>
      <c r="I945" s="45"/>
      <c r="J945" s="4">
        <f>SUM(J948:J949)</f>
        <v>14.899999999999999</v>
      </c>
      <c r="K945" s="5">
        <f>ROUND(0*(1+L2/100),2)</f>
        <v>0</v>
      </c>
      <c r="L945" s="5">
        <f>ROUND(J945*K945,2)</f>
        <v>0</v>
      </c>
    </row>
    <row r="946" spans="1:12" ht="42" hidden="1" customHeight="1" x14ac:dyDescent="0.2">
      <c r="A946" s="6"/>
      <c r="B946" s="6"/>
      <c r="C946" s="45" t="s">
        <v>2045</v>
      </c>
      <c r="D946" s="45"/>
      <c r="E946" s="45"/>
      <c r="F946" s="45"/>
      <c r="G946" s="45"/>
      <c r="H946" s="45"/>
      <c r="I946" s="45"/>
      <c r="J946" s="45"/>
      <c r="K946" s="45"/>
      <c r="L946" s="45"/>
    </row>
    <row r="947" spans="1:12" ht="15.2" hidden="1" customHeight="1" x14ac:dyDescent="0.2">
      <c r="A947" s="6"/>
      <c r="B947" s="6"/>
      <c r="C947" s="6"/>
      <c r="D947" s="7"/>
      <c r="E947" s="9" t="s">
        <v>2046</v>
      </c>
      <c r="F947" s="9" t="s">
        <v>2047</v>
      </c>
      <c r="G947" s="9" t="s">
        <v>2048</v>
      </c>
      <c r="H947" s="9" t="s">
        <v>2049</v>
      </c>
      <c r="I947" s="9" t="s">
        <v>2050</v>
      </c>
      <c r="J947" s="9" t="s">
        <v>2051</v>
      </c>
      <c r="K947" s="6"/>
      <c r="L947" s="6"/>
    </row>
    <row r="948" spans="1:12" ht="22.5" hidden="1" x14ac:dyDescent="0.2">
      <c r="A948" s="6"/>
      <c r="B948" s="6"/>
      <c r="C948" s="10"/>
      <c r="D948" s="11" t="s">
        <v>2052</v>
      </c>
      <c r="E948" s="12">
        <v>1</v>
      </c>
      <c r="F948" s="13">
        <v>4.2</v>
      </c>
      <c r="G948" s="13"/>
      <c r="H948" s="13"/>
      <c r="I948" s="15">
        <f>ROUND(E948*F948,3)</f>
        <v>4.2</v>
      </c>
      <c r="J948" s="18"/>
      <c r="K948" s="6"/>
      <c r="L948" s="6"/>
    </row>
    <row r="949" spans="1:12" ht="15.2" hidden="1" customHeight="1" x14ac:dyDescent="0.2">
      <c r="A949" s="6"/>
      <c r="B949" s="6"/>
      <c r="C949" s="10"/>
      <c r="D949" s="2" t="s">
        <v>2053</v>
      </c>
      <c r="E949" s="1">
        <v>10.7</v>
      </c>
      <c r="F949" s="5"/>
      <c r="G949" s="5"/>
      <c r="H949" s="5"/>
      <c r="I949" s="14">
        <f>ROUND(E949,3)</f>
        <v>10.7</v>
      </c>
      <c r="J949" s="16">
        <f>SUM(I948:I949)</f>
        <v>14.899999999999999</v>
      </c>
      <c r="K949" s="6"/>
      <c r="L949" s="6"/>
    </row>
    <row r="950" spans="1:12" ht="15.4" hidden="1" customHeight="1" x14ac:dyDescent="0.2">
      <c r="A950" s="3" t="s">
        <v>2054</v>
      </c>
      <c r="B950" s="2" t="s">
        <v>2055</v>
      </c>
      <c r="C950" s="45" t="s">
        <v>2056</v>
      </c>
      <c r="D950" s="45"/>
      <c r="E950" s="45"/>
      <c r="F950" s="45"/>
      <c r="G950" s="45"/>
      <c r="H950" s="45"/>
      <c r="I950" s="45"/>
      <c r="J950" s="4">
        <f>SUM(J953:J957)</f>
        <v>18.100000000000001</v>
      </c>
      <c r="K950" s="5">
        <f>ROUND(0*(1+L2/100),2)</f>
        <v>0</v>
      </c>
      <c r="L950" s="5">
        <f>ROUND(J950*K950,2)</f>
        <v>0</v>
      </c>
    </row>
    <row r="951" spans="1:12" ht="38.25" hidden="1" customHeight="1" x14ac:dyDescent="0.2">
      <c r="A951" s="6"/>
      <c r="B951" s="6"/>
      <c r="C951" s="45" t="s">
        <v>2057</v>
      </c>
      <c r="D951" s="45"/>
      <c r="E951" s="45"/>
      <c r="F951" s="45"/>
      <c r="G951" s="45"/>
      <c r="H951" s="45"/>
      <c r="I951" s="45"/>
      <c r="J951" s="45"/>
      <c r="K951" s="45"/>
      <c r="L951" s="45"/>
    </row>
    <row r="952" spans="1:12" ht="15.2" hidden="1" customHeight="1" x14ac:dyDescent="0.2">
      <c r="A952" s="6"/>
      <c r="B952" s="6"/>
      <c r="C952" s="6"/>
      <c r="D952" s="7"/>
      <c r="E952" s="9" t="s">
        <v>2058</v>
      </c>
      <c r="F952" s="9" t="s">
        <v>2059</v>
      </c>
      <c r="G952" s="9" t="s">
        <v>2060</v>
      </c>
      <c r="H952" s="9" t="s">
        <v>2061</v>
      </c>
      <c r="I952" s="9" t="s">
        <v>2062</v>
      </c>
      <c r="J952" s="9" t="s">
        <v>2063</v>
      </c>
      <c r="K952" s="6"/>
      <c r="L952" s="6"/>
    </row>
    <row r="953" spans="1:12" ht="22.5" hidden="1" x14ac:dyDescent="0.2">
      <c r="A953" s="6"/>
      <c r="B953" s="6"/>
      <c r="C953" s="10"/>
      <c r="D953" s="11" t="s">
        <v>2064</v>
      </c>
      <c r="E953" s="12">
        <v>1</v>
      </c>
      <c r="F953" s="13">
        <v>1.9</v>
      </c>
      <c r="G953" s="13"/>
      <c r="H953" s="13"/>
      <c r="I953" s="15">
        <f>ROUND(E953*F953,3)</f>
        <v>1.9</v>
      </c>
      <c r="J953" s="18"/>
      <c r="K953" s="6"/>
      <c r="L953" s="6"/>
    </row>
    <row r="954" spans="1:12" hidden="1" x14ac:dyDescent="0.2">
      <c r="A954" s="6"/>
      <c r="B954" s="6"/>
      <c r="C954" s="10"/>
      <c r="D954" s="2" t="s">
        <v>2065</v>
      </c>
      <c r="E954" s="1">
        <v>1</v>
      </c>
      <c r="F954" s="5">
        <v>5</v>
      </c>
      <c r="G954" s="5"/>
      <c r="H954" s="5"/>
      <c r="I954" s="14">
        <f>ROUND(E954*F954,3)</f>
        <v>5</v>
      </c>
      <c r="J954" s="6"/>
      <c r="K954" s="6"/>
      <c r="L954" s="6"/>
    </row>
    <row r="955" spans="1:12" ht="22.5" hidden="1" x14ac:dyDescent="0.2">
      <c r="A955" s="6"/>
      <c r="B955" s="6"/>
      <c r="C955" s="10"/>
      <c r="D955" s="2" t="s">
        <v>2066</v>
      </c>
      <c r="E955" s="1">
        <v>1</v>
      </c>
      <c r="F955" s="5">
        <v>5</v>
      </c>
      <c r="G955" s="5"/>
      <c r="H955" s="5"/>
      <c r="I955" s="14">
        <f>ROUND(E955*F955,3)</f>
        <v>5</v>
      </c>
      <c r="J955" s="6"/>
      <c r="K955" s="6"/>
      <c r="L955" s="6"/>
    </row>
    <row r="956" spans="1:12" ht="22.5" hidden="1" x14ac:dyDescent="0.2">
      <c r="A956" s="6"/>
      <c r="B956" s="6"/>
      <c r="C956" s="10"/>
      <c r="D956" s="2" t="s">
        <v>2067</v>
      </c>
      <c r="E956" s="1">
        <v>1</v>
      </c>
      <c r="F956" s="5">
        <v>4.4000000000000004</v>
      </c>
      <c r="G956" s="5"/>
      <c r="H956" s="5"/>
      <c r="I956" s="14">
        <f>ROUND(E956*F956,3)</f>
        <v>4.4000000000000004</v>
      </c>
      <c r="J956" s="6"/>
      <c r="K956" s="6"/>
      <c r="L956" s="6"/>
    </row>
    <row r="957" spans="1:12" hidden="1" x14ac:dyDescent="0.2">
      <c r="A957" s="6"/>
      <c r="B957" s="6"/>
      <c r="C957" s="10"/>
      <c r="D957" s="2" t="s">
        <v>2068</v>
      </c>
      <c r="E957" s="1">
        <v>1</v>
      </c>
      <c r="F957" s="5">
        <v>1.8</v>
      </c>
      <c r="G957" s="5"/>
      <c r="H957" s="5"/>
      <c r="I957" s="14">
        <f>ROUND(E957*F957,3)</f>
        <v>1.8</v>
      </c>
      <c r="J957" s="16">
        <f>SUM(I953:I957)</f>
        <v>18.100000000000001</v>
      </c>
      <c r="K957" s="6"/>
      <c r="L957" s="6"/>
    </row>
    <row r="958" spans="1:12" ht="15.4" hidden="1" customHeight="1" x14ac:dyDescent="0.2">
      <c r="A958" s="3" t="s">
        <v>2069</v>
      </c>
      <c r="B958" s="2" t="s">
        <v>2070</v>
      </c>
      <c r="C958" s="45" t="s">
        <v>2071</v>
      </c>
      <c r="D958" s="45"/>
      <c r="E958" s="45"/>
      <c r="F958" s="45"/>
      <c r="G958" s="45"/>
      <c r="H958" s="45"/>
      <c r="I958" s="45"/>
      <c r="J958" s="4">
        <f>SUM(J961:J976)</f>
        <v>164.6</v>
      </c>
      <c r="K958" s="5">
        <f>ROUND(0*(1+L2/100),2)</f>
        <v>0</v>
      </c>
      <c r="L958" s="5">
        <f>ROUND(J958*K958,2)</f>
        <v>0</v>
      </c>
    </row>
    <row r="959" spans="1:12" ht="28.5" hidden="1" customHeight="1" x14ac:dyDescent="0.2">
      <c r="A959" s="6"/>
      <c r="B959" s="6"/>
      <c r="C959" s="45" t="s">
        <v>2072</v>
      </c>
      <c r="D959" s="45"/>
      <c r="E959" s="45"/>
      <c r="F959" s="45"/>
      <c r="G959" s="45"/>
      <c r="H959" s="45"/>
      <c r="I959" s="45"/>
      <c r="J959" s="45"/>
      <c r="K959" s="45"/>
      <c r="L959" s="45"/>
    </row>
    <row r="960" spans="1:12" ht="15.2" hidden="1" customHeight="1" x14ac:dyDescent="0.2">
      <c r="A960" s="6"/>
      <c r="B960" s="6"/>
      <c r="C960" s="6"/>
      <c r="D960" s="7"/>
      <c r="E960" s="9" t="s">
        <v>2073</v>
      </c>
      <c r="F960" s="9" t="s">
        <v>2074</v>
      </c>
      <c r="G960" s="9" t="s">
        <v>2075</v>
      </c>
      <c r="H960" s="9" t="s">
        <v>2076</v>
      </c>
      <c r="I960" s="9" t="s">
        <v>2077</v>
      </c>
      <c r="J960" s="9" t="s">
        <v>2078</v>
      </c>
      <c r="K960" s="6"/>
      <c r="L960" s="6"/>
    </row>
    <row r="961" spans="1:12" ht="33.75" hidden="1" x14ac:dyDescent="0.2">
      <c r="A961" s="6"/>
      <c r="B961" s="6"/>
      <c r="C961" s="10"/>
      <c r="D961" s="11" t="s">
        <v>2079</v>
      </c>
      <c r="E961" s="12">
        <v>2</v>
      </c>
      <c r="F961" s="13">
        <v>11.3</v>
      </c>
      <c r="G961" s="13"/>
      <c r="H961" s="13">
        <v>2</v>
      </c>
      <c r="I961" s="15">
        <f>ROUND(E961*F961*H961,3)</f>
        <v>45.2</v>
      </c>
      <c r="J961" s="18"/>
      <c r="K961" s="6"/>
      <c r="L961" s="6"/>
    </row>
    <row r="962" spans="1:12" ht="22.5" hidden="1" x14ac:dyDescent="0.2">
      <c r="A962" s="6"/>
      <c r="B962" s="6"/>
      <c r="C962" s="10"/>
      <c r="D962" s="2" t="s">
        <v>2080</v>
      </c>
      <c r="E962" s="1">
        <v>1</v>
      </c>
      <c r="F962" s="5">
        <v>5</v>
      </c>
      <c r="G962" s="5"/>
      <c r="H962" s="5">
        <v>1.3</v>
      </c>
      <c r="I962" s="14">
        <f>ROUND(E962*F962*H962,3)</f>
        <v>6.5</v>
      </c>
      <c r="J962" s="6"/>
      <c r="K962" s="6"/>
      <c r="L962" s="6"/>
    </row>
    <row r="963" spans="1:12" hidden="1" x14ac:dyDescent="0.2">
      <c r="A963" s="6"/>
      <c r="B963" s="6"/>
      <c r="C963" s="10"/>
      <c r="D963" s="2" t="s">
        <v>2081</v>
      </c>
      <c r="E963" s="1">
        <v>1</v>
      </c>
      <c r="F963" s="5">
        <v>5</v>
      </c>
      <c r="G963" s="5"/>
      <c r="H963" s="5">
        <v>1.3</v>
      </c>
      <c r="I963" s="14">
        <f>ROUND(E963*F963*H963,3)</f>
        <v>6.5</v>
      </c>
      <c r="J963" s="6"/>
      <c r="K963" s="6"/>
      <c r="L963" s="6"/>
    </row>
    <row r="964" spans="1:12" ht="22.5" hidden="1" x14ac:dyDescent="0.2">
      <c r="A964" s="6"/>
      <c r="B964" s="6"/>
      <c r="C964" s="10"/>
      <c r="D964" s="2" t="s">
        <v>2082</v>
      </c>
      <c r="E964" s="1">
        <v>2</v>
      </c>
      <c r="F964" s="5">
        <v>5.8</v>
      </c>
      <c r="G964" s="5">
        <v>0.5</v>
      </c>
      <c r="H964" s="5"/>
      <c r="I964" s="14">
        <f>ROUND(E964*F964*G964,3)</f>
        <v>5.8</v>
      </c>
      <c r="J964" s="6"/>
      <c r="K964" s="6"/>
      <c r="L964" s="6"/>
    </row>
    <row r="965" spans="1:12" ht="33.75" hidden="1" x14ac:dyDescent="0.2">
      <c r="A965" s="6"/>
      <c r="B965" s="6"/>
      <c r="C965" s="10"/>
      <c r="D965" s="2" t="s">
        <v>2083</v>
      </c>
      <c r="E965" s="1">
        <v>1</v>
      </c>
      <c r="F965" s="5">
        <v>6.15</v>
      </c>
      <c r="G965" s="5"/>
      <c r="H965" s="5">
        <v>1.5</v>
      </c>
      <c r="I965" s="14">
        <f>ROUND(E965*F965*H965,3)</f>
        <v>9.2249999999999996</v>
      </c>
      <c r="J965" s="6"/>
      <c r="K965" s="6"/>
      <c r="L965" s="6"/>
    </row>
    <row r="966" spans="1:12" ht="33.75" hidden="1" x14ac:dyDescent="0.2">
      <c r="A966" s="6"/>
      <c r="B966" s="6"/>
      <c r="C966" s="10"/>
      <c r="D966" s="2" t="s">
        <v>2084</v>
      </c>
      <c r="E966" s="1">
        <v>2</v>
      </c>
      <c r="F966" s="5">
        <v>4</v>
      </c>
      <c r="G966" s="5"/>
      <c r="H966" s="5">
        <v>1.3</v>
      </c>
      <c r="I966" s="14">
        <f>ROUND(E966*F966*H966,3)</f>
        <v>10.4</v>
      </c>
      <c r="J966" s="6"/>
      <c r="K966" s="6"/>
      <c r="L966" s="6"/>
    </row>
    <row r="967" spans="1:12" ht="33.75" hidden="1" x14ac:dyDescent="0.2">
      <c r="A967" s="6"/>
      <c r="B967" s="6"/>
      <c r="C967" s="10"/>
      <c r="D967" s="2" t="s">
        <v>2085</v>
      </c>
      <c r="E967" s="1">
        <v>2</v>
      </c>
      <c r="F967" s="5">
        <v>1.9</v>
      </c>
      <c r="G967" s="5"/>
      <c r="H967" s="5"/>
      <c r="I967" s="14">
        <f>ROUND(E967*F967,3)</f>
        <v>3.8</v>
      </c>
      <c r="J967" s="6"/>
      <c r="K967" s="6"/>
      <c r="L967" s="6"/>
    </row>
    <row r="968" spans="1:12" ht="22.5" hidden="1" x14ac:dyDescent="0.2">
      <c r="A968" s="6"/>
      <c r="B968" s="6"/>
      <c r="C968" s="10"/>
      <c r="D968" s="2" t="s">
        <v>2086</v>
      </c>
      <c r="E968" s="1">
        <v>1</v>
      </c>
      <c r="F968" s="5">
        <v>5.9</v>
      </c>
      <c r="G968" s="5"/>
      <c r="H968" s="5">
        <v>3</v>
      </c>
      <c r="I968" s="14">
        <f t="shared" ref="I968:I975" si="6">ROUND(E968*F968*H968,3)</f>
        <v>17.7</v>
      </c>
      <c r="J968" s="6"/>
      <c r="K968" s="6"/>
      <c r="L968" s="6"/>
    </row>
    <row r="969" spans="1:12" ht="22.5" hidden="1" x14ac:dyDescent="0.2">
      <c r="A969" s="6"/>
      <c r="B969" s="6"/>
      <c r="C969" s="10"/>
      <c r="D969" s="2" t="s">
        <v>2087</v>
      </c>
      <c r="E969" s="1">
        <v>1</v>
      </c>
      <c r="F969" s="5">
        <v>5.6</v>
      </c>
      <c r="G969" s="5"/>
      <c r="H969" s="5">
        <v>2.5</v>
      </c>
      <c r="I969" s="14">
        <f t="shared" si="6"/>
        <v>14</v>
      </c>
      <c r="J969" s="6"/>
      <c r="K969" s="6"/>
      <c r="L969" s="6"/>
    </row>
    <row r="970" spans="1:12" hidden="1" x14ac:dyDescent="0.2">
      <c r="A970" s="6"/>
      <c r="B970" s="6"/>
      <c r="C970" s="10"/>
      <c r="D970" s="2" t="s">
        <v>2088</v>
      </c>
      <c r="E970" s="1">
        <v>1</v>
      </c>
      <c r="F970" s="5">
        <v>40.200000000000003</v>
      </c>
      <c r="G970" s="5"/>
      <c r="H970" s="5">
        <v>0.25</v>
      </c>
      <c r="I970" s="14">
        <f t="shared" si="6"/>
        <v>10.050000000000001</v>
      </c>
      <c r="J970" s="6"/>
      <c r="K970" s="6"/>
      <c r="L970" s="6"/>
    </row>
    <row r="971" spans="1:12" hidden="1" x14ac:dyDescent="0.2">
      <c r="A971" s="6"/>
      <c r="B971" s="6"/>
      <c r="C971" s="10"/>
      <c r="D971" s="2" t="s">
        <v>2089</v>
      </c>
      <c r="E971" s="1">
        <v>1</v>
      </c>
      <c r="F971" s="5">
        <v>1.9</v>
      </c>
      <c r="G971" s="5"/>
      <c r="H971" s="5">
        <v>1.3</v>
      </c>
      <c r="I971" s="14">
        <f t="shared" si="6"/>
        <v>2.4700000000000002</v>
      </c>
      <c r="J971" s="6"/>
      <c r="K971" s="6"/>
      <c r="L971" s="6"/>
    </row>
    <row r="972" spans="1:12" ht="22.5" hidden="1" x14ac:dyDescent="0.2">
      <c r="A972" s="6"/>
      <c r="B972" s="6"/>
      <c r="C972" s="10"/>
      <c r="D972" s="2" t="s">
        <v>2090</v>
      </c>
      <c r="E972" s="1">
        <v>1</v>
      </c>
      <c r="F972" s="5">
        <v>4.0999999999999996</v>
      </c>
      <c r="G972" s="5"/>
      <c r="H972" s="5">
        <v>0.25</v>
      </c>
      <c r="I972" s="14">
        <f t="shared" si="6"/>
        <v>1.0249999999999999</v>
      </c>
      <c r="J972" s="6"/>
      <c r="K972" s="6"/>
      <c r="L972" s="6"/>
    </row>
    <row r="973" spans="1:12" ht="22.5" hidden="1" x14ac:dyDescent="0.2">
      <c r="A973" s="6"/>
      <c r="B973" s="6"/>
      <c r="C973" s="10"/>
      <c r="D973" s="2" t="s">
        <v>2091</v>
      </c>
      <c r="E973" s="1">
        <v>1</v>
      </c>
      <c r="F973" s="5">
        <v>7.2</v>
      </c>
      <c r="G973" s="5"/>
      <c r="H973" s="5">
        <v>0.9</v>
      </c>
      <c r="I973" s="14">
        <f t="shared" si="6"/>
        <v>6.48</v>
      </c>
      <c r="J973" s="6"/>
      <c r="K973" s="6"/>
      <c r="L973" s="6"/>
    </row>
    <row r="974" spans="1:12" hidden="1" x14ac:dyDescent="0.2">
      <c r="A974" s="6"/>
      <c r="B974" s="6"/>
      <c r="C974" s="10"/>
      <c r="D974" s="2" t="s">
        <v>2092</v>
      </c>
      <c r="E974" s="1">
        <v>1</v>
      </c>
      <c r="F974" s="5">
        <v>4.2</v>
      </c>
      <c r="G974" s="5"/>
      <c r="H974" s="5">
        <v>2</v>
      </c>
      <c r="I974" s="14">
        <f t="shared" si="6"/>
        <v>8.4</v>
      </c>
      <c r="J974" s="6"/>
      <c r="K974" s="6"/>
      <c r="L974" s="6"/>
    </row>
    <row r="975" spans="1:12" ht="22.5" hidden="1" x14ac:dyDescent="0.2">
      <c r="A975" s="6"/>
      <c r="B975" s="6"/>
      <c r="C975" s="10"/>
      <c r="D975" s="2" t="s">
        <v>2093</v>
      </c>
      <c r="E975" s="1">
        <v>1</v>
      </c>
      <c r="F975" s="5">
        <v>7.3</v>
      </c>
      <c r="G975" s="5"/>
      <c r="H975" s="5">
        <v>1.5</v>
      </c>
      <c r="I975" s="14">
        <f t="shared" si="6"/>
        <v>10.95</v>
      </c>
      <c r="J975" s="6"/>
      <c r="K975" s="6"/>
      <c r="L975" s="6"/>
    </row>
    <row r="976" spans="1:12" hidden="1" x14ac:dyDescent="0.2">
      <c r="A976" s="6"/>
      <c r="B976" s="6"/>
      <c r="C976" s="10"/>
      <c r="D976" s="2" t="s">
        <v>2094</v>
      </c>
      <c r="E976" s="1">
        <v>2</v>
      </c>
      <c r="F976" s="5">
        <v>6.1</v>
      </c>
      <c r="G976" s="5">
        <v>0.5</v>
      </c>
      <c r="H976" s="5"/>
      <c r="I976" s="14">
        <f>ROUND(E976*F976*G976,3)</f>
        <v>6.1</v>
      </c>
      <c r="J976" s="16">
        <f>SUM(I961:I976)</f>
        <v>164.6</v>
      </c>
      <c r="K976" s="6"/>
      <c r="L976" s="6"/>
    </row>
    <row r="977" spans="1:30" ht="15.4" hidden="1" customHeight="1" x14ac:dyDescent="0.2">
      <c r="A977" s="3" t="s">
        <v>2095</v>
      </c>
      <c r="B977" s="2" t="s">
        <v>2096</v>
      </c>
      <c r="C977" s="45" t="s">
        <v>2097</v>
      </c>
      <c r="D977" s="45"/>
      <c r="E977" s="45"/>
      <c r="F977" s="45"/>
      <c r="G977" s="45"/>
      <c r="H977" s="45"/>
      <c r="I977" s="45"/>
      <c r="J977" s="4">
        <f>SUM(J980:J995)</f>
        <v>164.6</v>
      </c>
      <c r="K977" s="5">
        <f>ROUND(0*(1+L2/100),2)</f>
        <v>0</v>
      </c>
      <c r="L977" s="5">
        <f>ROUND(J977*K977,2)</f>
        <v>0</v>
      </c>
      <c r="AD977" s="58" t="s">
        <v>2194</v>
      </c>
    </row>
    <row r="978" spans="1:30" ht="46.5" hidden="1" customHeight="1" x14ac:dyDescent="0.2">
      <c r="A978" s="6"/>
      <c r="B978" s="6"/>
      <c r="C978" s="45" t="s">
        <v>2098</v>
      </c>
      <c r="D978" s="45"/>
      <c r="E978" s="45"/>
      <c r="F978" s="45"/>
      <c r="G978" s="45"/>
      <c r="H978" s="45"/>
      <c r="I978" s="45"/>
      <c r="J978" s="45"/>
      <c r="K978" s="45"/>
      <c r="L978" s="45"/>
      <c r="AD978" s="58" t="s">
        <v>2194</v>
      </c>
    </row>
    <row r="979" spans="1:30" ht="15.2" hidden="1" customHeight="1" x14ac:dyDescent="0.2">
      <c r="A979" s="6"/>
      <c r="B979" s="6"/>
      <c r="C979" s="6"/>
      <c r="D979" s="7"/>
      <c r="E979" s="9" t="s">
        <v>2099</v>
      </c>
      <c r="F979" s="9" t="s">
        <v>2100</v>
      </c>
      <c r="G979" s="9" t="s">
        <v>2101</v>
      </c>
      <c r="H979" s="9" t="s">
        <v>2102</v>
      </c>
      <c r="I979" s="9" t="s">
        <v>2103</v>
      </c>
      <c r="J979" s="9" t="s">
        <v>2104</v>
      </c>
      <c r="K979" s="6"/>
      <c r="L979" s="6"/>
      <c r="AD979" s="58" t="s">
        <v>2194</v>
      </c>
    </row>
    <row r="980" spans="1:30" ht="33.75" hidden="1" x14ac:dyDescent="0.2">
      <c r="A980" s="6"/>
      <c r="B980" s="6"/>
      <c r="C980" s="10"/>
      <c r="D980" s="11" t="s">
        <v>2105</v>
      </c>
      <c r="E980" s="12">
        <v>2</v>
      </c>
      <c r="F980" s="13">
        <v>11.3</v>
      </c>
      <c r="G980" s="13"/>
      <c r="H980" s="13">
        <v>2</v>
      </c>
      <c r="I980" s="15">
        <f>ROUND(E980*F980*H980,3)</f>
        <v>45.2</v>
      </c>
      <c r="J980" s="18"/>
      <c r="K980" s="6"/>
      <c r="L980" s="6"/>
      <c r="AD980" s="58" t="s">
        <v>2194</v>
      </c>
    </row>
    <row r="981" spans="1:30" ht="22.5" hidden="1" x14ac:dyDescent="0.2">
      <c r="A981" s="6"/>
      <c r="B981" s="6"/>
      <c r="C981" s="10"/>
      <c r="D981" s="2" t="s">
        <v>2106</v>
      </c>
      <c r="E981" s="1">
        <v>1</v>
      </c>
      <c r="F981" s="5">
        <v>5</v>
      </c>
      <c r="G981" s="5"/>
      <c r="H981" s="5">
        <v>1.3</v>
      </c>
      <c r="I981" s="14">
        <f>ROUND(E981*F981*H981,3)</f>
        <v>6.5</v>
      </c>
      <c r="J981" s="6"/>
      <c r="K981" s="6"/>
      <c r="L981" s="6"/>
      <c r="AD981" s="58" t="s">
        <v>2194</v>
      </c>
    </row>
    <row r="982" spans="1:30" hidden="1" x14ac:dyDescent="0.2">
      <c r="A982" s="6"/>
      <c r="B982" s="6"/>
      <c r="C982" s="10"/>
      <c r="D982" s="2" t="s">
        <v>2107</v>
      </c>
      <c r="E982" s="1">
        <v>1</v>
      </c>
      <c r="F982" s="5">
        <v>5</v>
      </c>
      <c r="G982" s="5"/>
      <c r="H982" s="5">
        <v>1.3</v>
      </c>
      <c r="I982" s="14">
        <f>ROUND(E982*F982*H982,3)</f>
        <v>6.5</v>
      </c>
      <c r="J982" s="6"/>
      <c r="K982" s="6"/>
      <c r="L982" s="6"/>
      <c r="AD982" s="58" t="s">
        <v>2194</v>
      </c>
    </row>
    <row r="983" spans="1:30" ht="22.5" hidden="1" x14ac:dyDescent="0.2">
      <c r="A983" s="6"/>
      <c r="B983" s="6"/>
      <c r="C983" s="10"/>
      <c r="D983" s="2" t="s">
        <v>2108</v>
      </c>
      <c r="E983" s="1">
        <v>2</v>
      </c>
      <c r="F983" s="5">
        <v>5.8</v>
      </c>
      <c r="G983" s="5">
        <v>0.5</v>
      </c>
      <c r="H983" s="5"/>
      <c r="I983" s="14">
        <f>ROUND(E983*F983*G983,3)</f>
        <v>5.8</v>
      </c>
      <c r="J983" s="6"/>
      <c r="K983" s="6"/>
      <c r="L983" s="6"/>
      <c r="AD983" s="58" t="s">
        <v>2194</v>
      </c>
    </row>
    <row r="984" spans="1:30" ht="33.75" hidden="1" x14ac:dyDescent="0.2">
      <c r="A984" s="6"/>
      <c r="B984" s="6"/>
      <c r="C984" s="10"/>
      <c r="D984" s="2" t="s">
        <v>2109</v>
      </c>
      <c r="E984" s="1">
        <v>1</v>
      </c>
      <c r="F984" s="5">
        <v>6.15</v>
      </c>
      <c r="G984" s="5"/>
      <c r="H984" s="5">
        <v>1.5</v>
      </c>
      <c r="I984" s="14">
        <f>ROUND(E984*F984*H984,3)</f>
        <v>9.2249999999999996</v>
      </c>
      <c r="J984" s="6"/>
      <c r="K984" s="6"/>
      <c r="L984" s="6"/>
      <c r="AD984" s="58" t="s">
        <v>2194</v>
      </c>
    </row>
    <row r="985" spans="1:30" ht="33.75" hidden="1" x14ac:dyDescent="0.2">
      <c r="A985" s="6"/>
      <c r="B985" s="6"/>
      <c r="C985" s="10"/>
      <c r="D985" s="2" t="s">
        <v>2110</v>
      </c>
      <c r="E985" s="1">
        <v>2</v>
      </c>
      <c r="F985" s="5">
        <v>4</v>
      </c>
      <c r="G985" s="5"/>
      <c r="H985" s="5">
        <v>1.3</v>
      </c>
      <c r="I985" s="14">
        <f>ROUND(E985*F985*H985,3)</f>
        <v>10.4</v>
      </c>
      <c r="J985" s="6"/>
      <c r="K985" s="6"/>
      <c r="L985" s="6"/>
      <c r="AD985" s="58" t="s">
        <v>2194</v>
      </c>
    </row>
    <row r="986" spans="1:30" ht="33.75" hidden="1" x14ac:dyDescent="0.2">
      <c r="A986" s="6"/>
      <c r="B986" s="6"/>
      <c r="C986" s="10"/>
      <c r="D986" s="2" t="s">
        <v>2111</v>
      </c>
      <c r="E986" s="1">
        <v>2</v>
      </c>
      <c r="F986" s="5">
        <v>1.9</v>
      </c>
      <c r="G986" s="5"/>
      <c r="H986" s="5"/>
      <c r="I986" s="14">
        <f>ROUND(E986*F986,3)</f>
        <v>3.8</v>
      </c>
      <c r="J986" s="6"/>
      <c r="K986" s="6"/>
      <c r="L986" s="6"/>
      <c r="AD986" s="58" t="s">
        <v>2194</v>
      </c>
    </row>
    <row r="987" spans="1:30" ht="22.5" hidden="1" x14ac:dyDescent="0.2">
      <c r="A987" s="6"/>
      <c r="B987" s="6"/>
      <c r="C987" s="10"/>
      <c r="D987" s="2" t="s">
        <v>2112</v>
      </c>
      <c r="E987" s="1">
        <v>1</v>
      </c>
      <c r="F987" s="5">
        <v>5.9</v>
      </c>
      <c r="G987" s="5"/>
      <c r="H987" s="5">
        <v>3</v>
      </c>
      <c r="I987" s="14">
        <f t="shared" ref="I987:I994" si="7">ROUND(E987*F987*H987,3)</f>
        <v>17.7</v>
      </c>
      <c r="J987" s="6"/>
      <c r="K987" s="6"/>
      <c r="L987" s="6"/>
      <c r="AD987" s="58" t="s">
        <v>2194</v>
      </c>
    </row>
    <row r="988" spans="1:30" ht="22.5" hidden="1" x14ac:dyDescent="0.2">
      <c r="A988" s="6"/>
      <c r="B988" s="6"/>
      <c r="C988" s="10"/>
      <c r="D988" s="2" t="s">
        <v>2113</v>
      </c>
      <c r="E988" s="1">
        <v>1</v>
      </c>
      <c r="F988" s="5">
        <v>5.6</v>
      </c>
      <c r="G988" s="5"/>
      <c r="H988" s="5">
        <v>2.5</v>
      </c>
      <c r="I988" s="14">
        <f t="shared" si="7"/>
        <v>14</v>
      </c>
      <c r="J988" s="6"/>
      <c r="K988" s="6"/>
      <c r="L988" s="6"/>
      <c r="AD988" s="58" t="s">
        <v>2194</v>
      </c>
    </row>
    <row r="989" spans="1:30" hidden="1" x14ac:dyDescent="0.2">
      <c r="A989" s="6"/>
      <c r="B989" s="6"/>
      <c r="C989" s="10"/>
      <c r="D989" s="2" t="s">
        <v>2114</v>
      </c>
      <c r="E989" s="1">
        <v>1</v>
      </c>
      <c r="F989" s="5">
        <v>40.200000000000003</v>
      </c>
      <c r="G989" s="5"/>
      <c r="H989" s="5">
        <v>0.25</v>
      </c>
      <c r="I989" s="14">
        <f t="shared" si="7"/>
        <v>10.050000000000001</v>
      </c>
      <c r="J989" s="6"/>
      <c r="K989" s="6"/>
      <c r="L989" s="6"/>
      <c r="AD989" s="58" t="s">
        <v>2194</v>
      </c>
    </row>
    <row r="990" spans="1:30" hidden="1" x14ac:dyDescent="0.2">
      <c r="A990" s="6"/>
      <c r="B990" s="6"/>
      <c r="C990" s="10"/>
      <c r="D990" s="2" t="s">
        <v>2115</v>
      </c>
      <c r="E990" s="1">
        <v>1</v>
      </c>
      <c r="F990" s="5">
        <v>1.9</v>
      </c>
      <c r="G990" s="5"/>
      <c r="H990" s="5">
        <v>1.3</v>
      </c>
      <c r="I990" s="14">
        <f t="shared" si="7"/>
        <v>2.4700000000000002</v>
      </c>
      <c r="J990" s="6"/>
      <c r="K990" s="6"/>
      <c r="L990" s="6"/>
      <c r="AD990" s="58" t="s">
        <v>2194</v>
      </c>
    </row>
    <row r="991" spans="1:30" ht="22.5" hidden="1" x14ac:dyDescent="0.2">
      <c r="A991" s="6"/>
      <c r="B991" s="6"/>
      <c r="C991" s="10"/>
      <c r="D991" s="2" t="s">
        <v>2116</v>
      </c>
      <c r="E991" s="1">
        <v>1</v>
      </c>
      <c r="F991" s="5">
        <v>4.0999999999999996</v>
      </c>
      <c r="G991" s="5"/>
      <c r="H991" s="5">
        <v>0.25</v>
      </c>
      <c r="I991" s="14">
        <f t="shared" si="7"/>
        <v>1.0249999999999999</v>
      </c>
      <c r="J991" s="6"/>
      <c r="K991" s="6"/>
      <c r="L991" s="6"/>
      <c r="AD991" s="58" t="s">
        <v>2194</v>
      </c>
    </row>
    <row r="992" spans="1:30" ht="22.5" hidden="1" x14ac:dyDescent="0.2">
      <c r="A992" s="6"/>
      <c r="B992" s="6"/>
      <c r="C992" s="10"/>
      <c r="D992" s="2" t="s">
        <v>2117</v>
      </c>
      <c r="E992" s="1">
        <v>1</v>
      </c>
      <c r="F992" s="5">
        <v>7.2</v>
      </c>
      <c r="G992" s="5"/>
      <c r="H992" s="5">
        <v>0.9</v>
      </c>
      <c r="I992" s="14">
        <f t="shared" si="7"/>
        <v>6.48</v>
      </c>
      <c r="J992" s="6"/>
      <c r="K992" s="6"/>
      <c r="L992" s="6"/>
      <c r="AD992" s="58" t="s">
        <v>2194</v>
      </c>
    </row>
    <row r="993" spans="1:37" hidden="1" x14ac:dyDescent="0.2">
      <c r="A993" s="6"/>
      <c r="B993" s="6"/>
      <c r="C993" s="10"/>
      <c r="D993" s="2" t="s">
        <v>2118</v>
      </c>
      <c r="E993" s="1">
        <v>1</v>
      </c>
      <c r="F993" s="5">
        <v>4.2</v>
      </c>
      <c r="G993" s="5"/>
      <c r="H993" s="5">
        <v>2</v>
      </c>
      <c r="I993" s="14">
        <f t="shared" si="7"/>
        <v>8.4</v>
      </c>
      <c r="J993" s="6"/>
      <c r="K993" s="6"/>
      <c r="L993" s="6"/>
      <c r="AD993" s="58" t="s">
        <v>2194</v>
      </c>
    </row>
    <row r="994" spans="1:37" ht="22.5" hidden="1" x14ac:dyDescent="0.2">
      <c r="A994" s="6"/>
      <c r="B994" s="6"/>
      <c r="C994" s="10"/>
      <c r="D994" s="2" t="s">
        <v>2119</v>
      </c>
      <c r="E994" s="1">
        <v>1</v>
      </c>
      <c r="F994" s="5">
        <v>7.3</v>
      </c>
      <c r="G994" s="5"/>
      <c r="H994" s="5">
        <v>1.5</v>
      </c>
      <c r="I994" s="14">
        <f t="shared" si="7"/>
        <v>10.95</v>
      </c>
      <c r="J994" s="6"/>
      <c r="K994" s="6"/>
      <c r="L994" s="6"/>
      <c r="AD994" s="58" t="s">
        <v>2194</v>
      </c>
    </row>
    <row r="995" spans="1:37" hidden="1" x14ac:dyDescent="0.2">
      <c r="A995" s="6"/>
      <c r="B995" s="6"/>
      <c r="C995" s="10"/>
      <c r="D995" s="2" t="s">
        <v>2120</v>
      </c>
      <c r="E995" s="1">
        <v>2</v>
      </c>
      <c r="F995" s="5">
        <v>6.1</v>
      </c>
      <c r="G995" s="5">
        <v>0.5</v>
      </c>
      <c r="H995" s="5"/>
      <c r="I995" s="14">
        <f>ROUND(E995*F995*G995,3)</f>
        <v>6.1</v>
      </c>
      <c r="J995" s="16">
        <f>SUM(I980:I995)</f>
        <v>164.6</v>
      </c>
      <c r="K995" s="6"/>
      <c r="L995" s="6"/>
      <c r="AD995" s="58" t="s">
        <v>2194</v>
      </c>
    </row>
    <row r="996" spans="1:37" ht="15.4" hidden="1" customHeight="1" x14ac:dyDescent="0.2">
      <c r="A996" s="37" t="s">
        <v>2121</v>
      </c>
      <c r="B996" s="34"/>
      <c r="C996" s="46" t="s">
        <v>2122</v>
      </c>
      <c r="D996" s="46"/>
      <c r="E996" s="46"/>
      <c r="F996" s="46"/>
      <c r="G996" s="46"/>
      <c r="H996" s="46"/>
      <c r="I996" s="46"/>
      <c r="J996" s="34"/>
      <c r="K996" s="35">
        <v>0</v>
      </c>
      <c r="L996" s="35">
        <f>ROUND(K996,2)</f>
        <v>0</v>
      </c>
    </row>
    <row r="997" spans="1:37" ht="15.4" hidden="1" customHeight="1" x14ac:dyDescent="0.2">
      <c r="A997" s="3" t="s">
        <v>2123</v>
      </c>
      <c r="B997" s="2" t="s">
        <v>2124</v>
      </c>
      <c r="C997" s="45" t="s">
        <v>2125</v>
      </c>
      <c r="D997" s="45"/>
      <c r="E997" s="45"/>
      <c r="F997" s="45"/>
      <c r="G997" s="45"/>
      <c r="H997" s="45"/>
      <c r="I997" s="45"/>
      <c r="J997" s="4">
        <f>SUM(J1000:J1000)</f>
        <v>181.75</v>
      </c>
      <c r="K997" s="5">
        <f>ROUND(0*(1+L2/100),2)</f>
        <v>0</v>
      </c>
      <c r="L997" s="5">
        <f>ROUND(J997*K997,2)</f>
        <v>0</v>
      </c>
    </row>
    <row r="998" spans="1:37" ht="63.75" hidden="1" customHeight="1" x14ac:dyDescent="0.2">
      <c r="A998" s="6"/>
      <c r="B998" s="6"/>
      <c r="C998" s="45" t="s">
        <v>2126</v>
      </c>
      <c r="D998" s="45"/>
      <c r="E998" s="45"/>
      <c r="F998" s="45"/>
      <c r="G998" s="45"/>
      <c r="H998" s="45"/>
      <c r="I998" s="45"/>
      <c r="J998" s="45"/>
      <c r="K998" s="45"/>
      <c r="L998" s="45"/>
    </row>
    <row r="999" spans="1:37" hidden="1" x14ac:dyDescent="0.2">
      <c r="A999" s="6"/>
      <c r="B999" s="6"/>
      <c r="C999" s="6"/>
      <c r="D999" s="7"/>
      <c r="E999" s="9" t="s">
        <v>2127</v>
      </c>
      <c r="F999" s="9" t="s">
        <v>2128</v>
      </c>
      <c r="G999" s="9" t="s">
        <v>2129</v>
      </c>
      <c r="H999" s="9" t="s">
        <v>2130</v>
      </c>
      <c r="I999" s="9" t="s">
        <v>2131</v>
      </c>
      <c r="J999" s="9" t="s">
        <v>2132</v>
      </c>
      <c r="K999" s="6"/>
      <c r="L999" s="6"/>
    </row>
    <row r="1000" spans="1:37" ht="45" hidden="1" x14ac:dyDescent="0.2">
      <c r="A1000" s="6"/>
      <c r="B1000" s="6"/>
      <c r="C1000" s="10"/>
      <c r="D1000" s="11" t="s">
        <v>2133</v>
      </c>
      <c r="E1000" s="12">
        <v>181.75</v>
      </c>
      <c r="F1000" s="13"/>
      <c r="G1000" s="13"/>
      <c r="H1000" s="13"/>
      <c r="I1000" s="15">
        <f>ROUND(E1000,3)</f>
        <v>181.75</v>
      </c>
      <c r="J1000" s="17">
        <f>SUM(I1000:I1000)</f>
        <v>181.75</v>
      </c>
      <c r="K1000" s="6"/>
      <c r="L1000" s="6"/>
    </row>
    <row r="1001" spans="1:37" ht="15.4" hidden="1" customHeight="1" x14ac:dyDescent="0.2">
      <c r="A1001" s="37" t="s">
        <v>2134</v>
      </c>
      <c r="B1001" s="34"/>
      <c r="C1001" s="46" t="s">
        <v>2135</v>
      </c>
      <c r="D1001" s="46"/>
      <c r="E1001" s="46"/>
      <c r="F1001" s="46"/>
      <c r="G1001" s="46"/>
      <c r="H1001" s="46"/>
      <c r="I1001" s="46"/>
      <c r="J1001" s="34"/>
      <c r="K1001" s="35">
        <v>0</v>
      </c>
      <c r="L1001" s="35">
        <f>ROUND(K1001,2)</f>
        <v>0</v>
      </c>
      <c r="AJ1001" s="58" t="s">
        <v>2201</v>
      </c>
    </row>
    <row r="1002" spans="1:37" ht="15.4" hidden="1" customHeight="1" x14ac:dyDescent="0.2">
      <c r="A1002" s="3" t="s">
        <v>2136</v>
      </c>
      <c r="B1002" s="2" t="s">
        <v>2137</v>
      </c>
      <c r="C1002" s="45" t="s">
        <v>2138</v>
      </c>
      <c r="D1002" s="45"/>
      <c r="E1002" s="45"/>
      <c r="F1002" s="45"/>
      <c r="G1002" s="45"/>
      <c r="H1002" s="45"/>
      <c r="I1002" s="45"/>
      <c r="J1002" s="4">
        <f>SUM(J1005:J1005)</f>
        <v>26.35</v>
      </c>
      <c r="K1002" s="5">
        <f>ROUND(0*(1+L2/100),2)</f>
        <v>0</v>
      </c>
      <c r="L1002" s="5">
        <f>ROUND(J1002*K1002,2)</f>
        <v>0</v>
      </c>
      <c r="AJ1002" s="58" t="s">
        <v>2201</v>
      </c>
    </row>
    <row r="1003" spans="1:37" ht="27.75" hidden="1" customHeight="1" x14ac:dyDescent="0.2">
      <c r="A1003" s="6"/>
      <c r="B1003" s="6"/>
      <c r="C1003" s="45" t="s">
        <v>2139</v>
      </c>
      <c r="D1003" s="45"/>
      <c r="E1003" s="45"/>
      <c r="F1003" s="45"/>
      <c r="G1003" s="45"/>
      <c r="H1003" s="45"/>
      <c r="I1003" s="45"/>
      <c r="J1003" s="45"/>
      <c r="K1003" s="45"/>
      <c r="L1003" s="45"/>
      <c r="AJ1003" s="58" t="s">
        <v>2201</v>
      </c>
    </row>
    <row r="1004" spans="1:37" ht="15.2" hidden="1" customHeight="1" x14ac:dyDescent="0.2">
      <c r="A1004" s="6"/>
      <c r="B1004" s="6"/>
      <c r="C1004" s="6"/>
      <c r="D1004" s="7"/>
      <c r="E1004" s="9" t="s">
        <v>2140</v>
      </c>
      <c r="F1004" s="9" t="s">
        <v>2141</v>
      </c>
      <c r="G1004" s="9" t="s">
        <v>2142</v>
      </c>
      <c r="H1004" s="9" t="s">
        <v>2143</v>
      </c>
      <c r="I1004" s="9" t="s">
        <v>2144</v>
      </c>
      <c r="J1004" s="9" t="s">
        <v>2145</v>
      </c>
      <c r="K1004" s="6"/>
      <c r="L1004" s="6"/>
      <c r="AJ1004" s="58" t="s">
        <v>2201</v>
      </c>
    </row>
    <row r="1005" spans="1:37" ht="22.5" hidden="1" x14ac:dyDescent="0.2">
      <c r="A1005" s="6"/>
      <c r="B1005" s="6"/>
      <c r="C1005" s="10"/>
      <c r="D1005" s="11" t="s">
        <v>2146</v>
      </c>
      <c r="E1005" s="12">
        <v>26.35</v>
      </c>
      <c r="F1005" s="13"/>
      <c r="G1005" s="13"/>
      <c r="H1005" s="13"/>
      <c r="I1005" s="15">
        <f>ROUND(E1005,3)</f>
        <v>26.35</v>
      </c>
      <c r="J1005" s="17">
        <f>SUM(I1005:I1005)</f>
        <v>26.35</v>
      </c>
      <c r="K1005" s="6"/>
      <c r="L1005" s="6"/>
      <c r="AJ1005" s="58" t="s">
        <v>2201</v>
      </c>
    </row>
    <row r="1006" spans="1:37" ht="15.4" hidden="1" customHeight="1" x14ac:dyDescent="0.2">
      <c r="A1006" s="37" t="s">
        <v>2147</v>
      </c>
      <c r="B1006" s="34"/>
      <c r="C1006" s="46" t="s">
        <v>2148</v>
      </c>
      <c r="D1006" s="46"/>
      <c r="E1006" s="46"/>
      <c r="F1006" s="46"/>
      <c r="G1006" s="46"/>
      <c r="H1006" s="46"/>
      <c r="I1006" s="46"/>
      <c r="J1006" s="34"/>
      <c r="K1006" s="35">
        <v>0</v>
      </c>
      <c r="L1006" s="35">
        <f>ROUND(K1006,2)</f>
        <v>0</v>
      </c>
      <c r="AK1006" s="58" t="s">
        <v>2202</v>
      </c>
    </row>
    <row r="1007" spans="1:37" ht="15.4" hidden="1" customHeight="1" x14ac:dyDescent="0.2">
      <c r="A1007" s="3" t="s">
        <v>2149</v>
      </c>
      <c r="B1007" s="2" t="s">
        <v>2150</v>
      </c>
      <c r="C1007" s="45" t="s">
        <v>2151</v>
      </c>
      <c r="D1007" s="45"/>
      <c r="E1007" s="45"/>
      <c r="F1007" s="45"/>
      <c r="G1007" s="45"/>
      <c r="H1007" s="45"/>
      <c r="I1007" s="45"/>
      <c r="J1007" s="4">
        <f>ROUND(1,2)</f>
        <v>1</v>
      </c>
      <c r="K1007" s="5">
        <f>ROUND(0*(1+L2/100),2)</f>
        <v>0</v>
      </c>
      <c r="L1007" s="5">
        <f>ROUND(J1007*K1007,2)</f>
        <v>0</v>
      </c>
      <c r="AK1007" s="58" t="s">
        <v>2202</v>
      </c>
    </row>
    <row r="1008" spans="1:37" ht="44.25" hidden="1" customHeight="1" x14ac:dyDescent="0.2">
      <c r="A1008" s="6"/>
      <c r="B1008" s="6"/>
      <c r="C1008" s="45" t="s">
        <v>2152</v>
      </c>
      <c r="D1008" s="45"/>
      <c r="E1008" s="45"/>
      <c r="F1008" s="45"/>
      <c r="G1008" s="45"/>
      <c r="H1008" s="45"/>
      <c r="I1008" s="45"/>
      <c r="J1008" s="45"/>
      <c r="K1008" s="45"/>
      <c r="L1008" s="45"/>
      <c r="AK1008" s="58" t="s">
        <v>2202</v>
      </c>
    </row>
    <row r="1009" spans="1:12" hidden="1" x14ac:dyDescent="0.2">
      <c r="A1009" s="31" t="s">
        <v>2153</v>
      </c>
      <c r="B1009" s="28"/>
      <c r="C1009" s="44" t="s">
        <v>2154</v>
      </c>
      <c r="D1009" s="44"/>
      <c r="E1009" s="44"/>
      <c r="F1009" s="44"/>
      <c r="G1009" s="44"/>
      <c r="H1009" s="44"/>
      <c r="I1009" s="44"/>
      <c r="J1009" s="28"/>
      <c r="K1009" s="29">
        <v>0</v>
      </c>
      <c r="L1009" s="29">
        <f>ROUND(K1009,2)</f>
        <v>0</v>
      </c>
    </row>
    <row r="1010" spans="1:12" hidden="1" x14ac:dyDescent="0.2">
      <c r="A1010" s="3" t="s">
        <v>2155</v>
      </c>
      <c r="B1010" s="2" t="s">
        <v>2156</v>
      </c>
      <c r="C1010" s="45" t="s">
        <v>2157</v>
      </c>
      <c r="D1010" s="45"/>
      <c r="E1010" s="45"/>
      <c r="F1010" s="45"/>
      <c r="G1010" s="45"/>
      <c r="H1010" s="45"/>
      <c r="I1010" s="45"/>
      <c r="J1010" s="4">
        <f>ROUND(1,2)</f>
        <v>1</v>
      </c>
      <c r="K1010" s="5">
        <f>ROUND(0*(1+L2/100),2)</f>
        <v>0</v>
      </c>
      <c r="L1010" s="5">
        <f>ROUND(J1010*K1010,2)</f>
        <v>0</v>
      </c>
    </row>
    <row r="1011" spans="1:12" hidden="1" x14ac:dyDescent="0.2">
      <c r="A1011" s="6"/>
      <c r="B1011" s="6"/>
      <c r="C1011" s="45" t="s">
        <v>2158</v>
      </c>
      <c r="D1011" s="45"/>
      <c r="E1011" s="45"/>
      <c r="F1011" s="45"/>
      <c r="G1011" s="45"/>
      <c r="H1011" s="45"/>
      <c r="I1011" s="45"/>
      <c r="J1011" s="45"/>
      <c r="K1011" s="45"/>
      <c r="L1011" s="45"/>
    </row>
    <row r="1012" spans="1:12" hidden="1" x14ac:dyDescent="0.2">
      <c r="A1012" s="3" t="s">
        <v>2159</v>
      </c>
      <c r="B1012" s="2" t="s">
        <v>2160</v>
      </c>
      <c r="C1012" s="45" t="s">
        <v>2161</v>
      </c>
      <c r="D1012" s="45"/>
      <c r="E1012" s="45"/>
      <c r="F1012" s="45"/>
      <c r="G1012" s="45"/>
      <c r="H1012" s="45"/>
      <c r="I1012" s="45"/>
      <c r="J1012" s="4">
        <f>ROUND(1,2)</f>
        <v>1</v>
      </c>
      <c r="K1012" s="5">
        <f>ROUND(0*(1+L2/100),2)</f>
        <v>0</v>
      </c>
      <c r="L1012" s="5">
        <f>ROUND(J1012*K1012,2)</f>
        <v>0</v>
      </c>
    </row>
    <row r="1013" spans="1:12" hidden="1" x14ac:dyDescent="0.2">
      <c r="A1013" s="6"/>
      <c r="B1013" s="6"/>
      <c r="C1013" s="45" t="s">
        <v>2162</v>
      </c>
      <c r="D1013" s="45"/>
      <c r="E1013" s="45"/>
      <c r="F1013" s="45"/>
      <c r="G1013" s="45"/>
      <c r="H1013" s="45"/>
      <c r="I1013" s="45"/>
      <c r="J1013" s="45"/>
      <c r="K1013" s="45"/>
      <c r="L1013" s="45"/>
    </row>
    <row r="1014" spans="1:12" hidden="1" x14ac:dyDescent="0.2">
      <c r="A1014" s="31" t="s">
        <v>2163</v>
      </c>
      <c r="B1014" s="28"/>
      <c r="C1014" s="44" t="s">
        <v>2164</v>
      </c>
      <c r="D1014" s="44"/>
      <c r="E1014" s="44"/>
      <c r="F1014" s="44"/>
      <c r="G1014" s="44"/>
      <c r="H1014" s="44"/>
      <c r="I1014" s="44"/>
      <c r="J1014" s="28"/>
      <c r="K1014" s="29">
        <v>0</v>
      </c>
      <c r="L1014" s="29">
        <f>ROUND(K1014,2)</f>
        <v>0</v>
      </c>
    </row>
    <row r="1015" spans="1:12" hidden="1" x14ac:dyDescent="0.2">
      <c r="A1015" s="3" t="s">
        <v>2165</v>
      </c>
      <c r="B1015" s="2"/>
      <c r="C1015" s="45" t="s">
        <v>2166</v>
      </c>
      <c r="D1015" s="45"/>
      <c r="E1015" s="45"/>
      <c r="F1015" s="45"/>
      <c r="G1015" s="45"/>
      <c r="H1015" s="45"/>
      <c r="I1015" s="45"/>
      <c r="J1015" s="4">
        <f>ROUND(1,2)</f>
        <v>1</v>
      </c>
      <c r="K1015" s="5">
        <f>ROUND(0*(1+L2/100),2)</f>
        <v>0</v>
      </c>
      <c r="L1015" s="5">
        <f>ROUND(J1015*K1015,2)</f>
        <v>0</v>
      </c>
    </row>
    <row r="1016" spans="1:12" hidden="1" x14ac:dyDescent="0.2">
      <c r="A1016" s="6"/>
      <c r="B1016" s="6"/>
      <c r="C1016" s="45" t="s">
        <v>2167</v>
      </c>
      <c r="D1016" s="45"/>
      <c r="E1016" s="45"/>
      <c r="F1016" s="45"/>
      <c r="G1016" s="45"/>
      <c r="H1016" s="45"/>
      <c r="I1016" s="45"/>
      <c r="J1016" s="45"/>
      <c r="K1016" s="45"/>
      <c r="L1016" s="45"/>
    </row>
    <row r="1017" spans="1:12" hidden="1" x14ac:dyDescent="0.2">
      <c r="A1017" s="31" t="s">
        <v>2168</v>
      </c>
      <c r="B1017" s="28"/>
      <c r="C1017" s="44" t="s">
        <v>2169</v>
      </c>
      <c r="D1017" s="44"/>
      <c r="E1017" s="44"/>
      <c r="F1017" s="44"/>
      <c r="G1017" s="44"/>
      <c r="H1017" s="44"/>
      <c r="I1017" s="44"/>
      <c r="J1017" s="28"/>
      <c r="K1017" s="29">
        <v>0</v>
      </c>
      <c r="L1017" s="29">
        <f>ROUND(K1017,2)</f>
        <v>0</v>
      </c>
    </row>
    <row r="1018" spans="1:12" hidden="1" x14ac:dyDescent="0.2">
      <c r="A1018" s="3" t="s">
        <v>2170</v>
      </c>
      <c r="B1018" s="2" t="s">
        <v>2171</v>
      </c>
      <c r="C1018" s="45" t="s">
        <v>2172</v>
      </c>
      <c r="D1018" s="45"/>
      <c r="E1018" s="45"/>
      <c r="F1018" s="45"/>
      <c r="G1018" s="45"/>
      <c r="H1018" s="45"/>
      <c r="I1018" s="45"/>
      <c r="J1018" s="4">
        <f>ROUND(1,2)</f>
        <v>1</v>
      </c>
      <c r="K1018" s="5">
        <f>ROUND(0*(1+L2/100),2)</f>
        <v>0</v>
      </c>
      <c r="L1018" s="5">
        <f>ROUND(J1018*K1018,2)</f>
        <v>0</v>
      </c>
    </row>
    <row r="1019" spans="1:12" hidden="1" x14ac:dyDescent="0.2">
      <c r="A1019" s="6"/>
      <c r="B1019" s="6"/>
      <c r="C1019" s="45" t="s">
        <v>2173</v>
      </c>
      <c r="D1019" s="45"/>
      <c r="E1019" s="45"/>
      <c r="F1019" s="45"/>
      <c r="G1019" s="45"/>
      <c r="H1019" s="45"/>
      <c r="I1019" s="45"/>
      <c r="J1019" s="45"/>
      <c r="K1019" s="45"/>
      <c r="L1019" s="45"/>
    </row>
    <row r="1020" spans="1:12" hidden="1" x14ac:dyDescent="0.2"/>
    <row r="1021" spans="1:12" hidden="1" x14ac:dyDescent="0.2"/>
    <row r="1022" spans="1:12" hidden="1" x14ac:dyDescent="0.2"/>
    <row r="1023" spans="1:12" hidden="1" x14ac:dyDescent="0.2"/>
    <row r="1024" spans="1:12"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sheetData>
  <autoFilter ref="M1:AL1102" xr:uid="{00000000-0001-0000-0000-000000000000}">
    <filterColumn colId="8">
      <customFilters>
        <customFilter operator="notEqual" val=" "/>
      </customFilters>
    </filterColumn>
  </autoFilter>
  <mergeCells count="479">
    <mergeCell ref="A2:B2"/>
    <mergeCell ref="C4:I4"/>
    <mergeCell ref="C5:I5"/>
    <mergeCell ref="C6:I6"/>
    <mergeCell ref="C7:I7"/>
    <mergeCell ref="C8:L8"/>
    <mergeCell ref="C11:I11"/>
    <mergeCell ref="C12:L12"/>
    <mergeCell ref="C16:I16"/>
    <mergeCell ref="C17:I17"/>
    <mergeCell ref="C18:L18"/>
    <mergeCell ref="C21:I21"/>
    <mergeCell ref="C22:L22"/>
    <mergeCell ref="C26:I26"/>
    <mergeCell ref="C27:L27"/>
    <mergeCell ref="C30:I30"/>
    <mergeCell ref="C31:L31"/>
    <mergeCell ref="C36:I36"/>
    <mergeCell ref="C37:I37"/>
    <mergeCell ref="C38:L38"/>
    <mergeCell ref="C41:I41"/>
    <mergeCell ref="C42:I42"/>
    <mergeCell ref="C43:I43"/>
    <mergeCell ref="C44:L44"/>
    <mergeCell ref="C47:I47"/>
    <mergeCell ref="C48:L48"/>
    <mergeCell ref="C53:I53"/>
    <mergeCell ref="C54:I54"/>
    <mergeCell ref="C55:I55"/>
    <mergeCell ref="C56:L56"/>
    <mergeCell ref="C59:I59"/>
    <mergeCell ref="C60:I60"/>
    <mergeCell ref="C61:L61"/>
    <mergeCell ref="C64:I64"/>
    <mergeCell ref="C65:L65"/>
    <mergeCell ref="C68:I68"/>
    <mergeCell ref="C69:L69"/>
    <mergeCell ref="C72:I72"/>
    <mergeCell ref="C73:I73"/>
    <mergeCell ref="C74:I74"/>
    <mergeCell ref="C75:L75"/>
    <mergeCell ref="C78:I78"/>
    <mergeCell ref="C79:L79"/>
    <mergeCell ref="C83:I83"/>
    <mergeCell ref="C84:I84"/>
    <mergeCell ref="C85:I85"/>
    <mergeCell ref="C86:L86"/>
    <mergeCell ref="C93:I93"/>
    <mergeCell ref="C94:I94"/>
    <mergeCell ref="C95:I95"/>
    <mergeCell ref="C96:L96"/>
    <mergeCell ref="C97:I97"/>
    <mergeCell ref="C98:I98"/>
    <mergeCell ref="C99:L99"/>
    <mergeCell ref="C102:I102"/>
    <mergeCell ref="C103:I103"/>
    <mergeCell ref="C104:I104"/>
    <mergeCell ref="C105:L105"/>
    <mergeCell ref="C109:I109"/>
    <mergeCell ref="C110:I110"/>
    <mergeCell ref="C111:I111"/>
    <mergeCell ref="C112:L112"/>
    <mergeCell ref="C116:I116"/>
    <mergeCell ref="C117:L117"/>
    <mergeCell ref="C120:I120"/>
    <mergeCell ref="C121:L121"/>
    <mergeCell ref="C132:I132"/>
    <mergeCell ref="C133:L133"/>
    <mergeCell ref="C138:I138"/>
    <mergeCell ref="C139:L139"/>
    <mergeCell ref="C142:I142"/>
    <mergeCell ref="C143:L143"/>
    <mergeCell ref="C157:I157"/>
    <mergeCell ref="C158:L158"/>
    <mergeCell ref="C172:I172"/>
    <mergeCell ref="C173:L173"/>
    <mergeCell ref="C177:I177"/>
    <mergeCell ref="C178:I178"/>
    <mergeCell ref="C179:L179"/>
    <mergeCell ref="C182:I182"/>
    <mergeCell ref="C183:L183"/>
    <mergeCell ref="C188:I188"/>
    <mergeCell ref="C189:L189"/>
    <mergeCell ref="C195:I195"/>
    <mergeCell ref="C196:L196"/>
    <mergeCell ref="C197:I197"/>
    <mergeCell ref="C198:L198"/>
    <mergeCell ref="C199:I199"/>
    <mergeCell ref="C200:L200"/>
    <mergeCell ref="C201:I201"/>
    <mergeCell ref="C202:L202"/>
    <mergeCell ref="C203:I203"/>
    <mergeCell ref="C204:I204"/>
    <mergeCell ref="C205:I205"/>
    <mergeCell ref="C206:L206"/>
    <mergeCell ref="C209:I209"/>
    <mergeCell ref="C210:L210"/>
    <mergeCell ref="C213:I213"/>
    <mergeCell ref="C214:L214"/>
    <mergeCell ref="C217:I217"/>
    <mergeCell ref="C218:L218"/>
    <mergeCell ref="C221:I221"/>
    <mergeCell ref="C222:L222"/>
    <mergeCell ref="C225:I225"/>
    <mergeCell ref="C226:L226"/>
    <mergeCell ref="C229:I229"/>
    <mergeCell ref="C230:L230"/>
    <mergeCell ref="C233:I233"/>
    <mergeCell ref="C234:I234"/>
    <mergeCell ref="C235:L235"/>
    <mergeCell ref="C240:I240"/>
    <mergeCell ref="C241:L241"/>
    <mergeCell ref="C246:I246"/>
    <mergeCell ref="C247:L247"/>
    <mergeCell ref="C252:I252"/>
    <mergeCell ref="C253:L253"/>
    <mergeCell ref="C256:I256"/>
    <mergeCell ref="C257:L257"/>
    <mergeCell ref="C262:I262"/>
    <mergeCell ref="C263:I263"/>
    <mergeCell ref="C264:I264"/>
    <mergeCell ref="C265:L265"/>
    <mergeCell ref="C270:I270"/>
    <mergeCell ref="C271:L271"/>
    <mergeCell ref="C274:I274"/>
    <mergeCell ref="C275:L275"/>
    <mergeCell ref="C281:I281"/>
    <mergeCell ref="C282:L282"/>
    <mergeCell ref="C286:I286"/>
    <mergeCell ref="C287:L287"/>
    <mergeCell ref="C288:I288"/>
    <mergeCell ref="C289:L289"/>
    <mergeCell ref="C294:I294"/>
    <mergeCell ref="C295:L295"/>
    <mergeCell ref="C300:I300"/>
    <mergeCell ref="C301:L301"/>
    <mergeCell ref="C304:I304"/>
    <mergeCell ref="C305:I305"/>
    <mergeCell ref="C306:I306"/>
    <mergeCell ref="C307:L307"/>
    <mergeCell ref="C323:I323"/>
    <mergeCell ref="C324:L324"/>
    <mergeCell ref="C340:I340"/>
    <mergeCell ref="C341:L341"/>
    <mergeCell ref="C346:I346"/>
    <mergeCell ref="C347:I347"/>
    <mergeCell ref="C348:L348"/>
    <mergeCell ref="C353:I353"/>
    <mergeCell ref="C354:I354"/>
    <mergeCell ref="C355:L355"/>
    <mergeCell ref="C362:I362"/>
    <mergeCell ref="C363:L363"/>
    <mergeCell ref="C367:I367"/>
    <mergeCell ref="C368:I368"/>
    <mergeCell ref="C369:L369"/>
    <mergeCell ref="C373:I373"/>
    <mergeCell ref="C374:I374"/>
    <mergeCell ref="C375:I375"/>
    <mergeCell ref="C376:L376"/>
    <mergeCell ref="C383:I383"/>
    <mergeCell ref="C384:I384"/>
    <mergeCell ref="C385:L385"/>
    <mergeCell ref="C389:I389"/>
    <mergeCell ref="C390:L390"/>
    <mergeCell ref="C394:I394"/>
    <mergeCell ref="C395:L395"/>
    <mergeCell ref="C399:I399"/>
    <mergeCell ref="C400:L400"/>
    <mergeCell ref="C404:I404"/>
    <mergeCell ref="C405:L405"/>
    <mergeCell ref="C409:I409"/>
    <mergeCell ref="C410:L410"/>
    <mergeCell ref="C414:I414"/>
    <mergeCell ref="C415:L415"/>
    <mergeCell ref="C419:I419"/>
    <mergeCell ref="C420:L420"/>
    <mergeCell ref="C424:I424"/>
    <mergeCell ref="C425:L425"/>
    <mergeCell ref="C429:I429"/>
    <mergeCell ref="C430:L430"/>
    <mergeCell ref="C434:I434"/>
    <mergeCell ref="C435:L435"/>
    <mergeCell ref="C439:I439"/>
    <mergeCell ref="C440:L440"/>
    <mergeCell ref="C444:I444"/>
    <mergeCell ref="C445:L445"/>
    <mergeCell ref="C449:I449"/>
    <mergeCell ref="C450:L450"/>
    <mergeCell ref="C454:I454"/>
    <mergeCell ref="C455:L455"/>
    <mergeCell ref="C459:I459"/>
    <mergeCell ref="C460:L460"/>
    <mergeCell ref="C464:I464"/>
    <mergeCell ref="C465:L465"/>
    <mergeCell ref="C469:I469"/>
    <mergeCell ref="C470:L470"/>
    <mergeCell ref="C474:I474"/>
    <mergeCell ref="C475:I475"/>
    <mergeCell ref="C476:L476"/>
    <mergeCell ref="C479:I479"/>
    <mergeCell ref="C480:L480"/>
    <mergeCell ref="C481:I481"/>
    <mergeCell ref="C482:L482"/>
    <mergeCell ref="C483:I483"/>
    <mergeCell ref="C484:I484"/>
    <mergeCell ref="C485:L485"/>
    <mergeCell ref="C491:I491"/>
    <mergeCell ref="C492:L492"/>
    <mergeCell ref="C498:I498"/>
    <mergeCell ref="C499:L499"/>
    <mergeCell ref="C505:I505"/>
    <mergeCell ref="C506:L506"/>
    <mergeCell ref="C510:I510"/>
    <mergeCell ref="C511:L511"/>
    <mergeCell ref="C515:I515"/>
    <mergeCell ref="C516:I516"/>
    <mergeCell ref="C517:L517"/>
    <mergeCell ref="C521:I521"/>
    <mergeCell ref="C522:I522"/>
    <mergeCell ref="C523:L523"/>
    <mergeCell ref="C529:I529"/>
    <mergeCell ref="C530:L530"/>
    <mergeCell ref="C533:I533"/>
    <mergeCell ref="C534:I534"/>
    <mergeCell ref="C535:I535"/>
    <mergeCell ref="C536:L536"/>
    <mergeCell ref="C537:I537"/>
    <mergeCell ref="C538:L538"/>
    <mergeCell ref="C544:I544"/>
    <mergeCell ref="C545:L545"/>
    <mergeCell ref="C558:I558"/>
    <mergeCell ref="C559:L559"/>
    <mergeCell ref="C568:I568"/>
    <mergeCell ref="C569:L569"/>
    <mergeCell ref="C576:I576"/>
    <mergeCell ref="C577:I577"/>
    <mergeCell ref="C578:L578"/>
    <mergeCell ref="C582:I582"/>
    <mergeCell ref="C583:L583"/>
    <mergeCell ref="C601:I601"/>
    <mergeCell ref="C602:I602"/>
    <mergeCell ref="C603:L603"/>
    <mergeCell ref="C604:I604"/>
    <mergeCell ref="C605:L605"/>
    <mergeCell ref="C606:I606"/>
    <mergeCell ref="C607:L607"/>
    <mergeCell ref="C608:I608"/>
    <mergeCell ref="C609:I609"/>
    <mergeCell ref="C610:I610"/>
    <mergeCell ref="C611:L611"/>
    <mergeCell ref="C612:I612"/>
    <mergeCell ref="C613:L613"/>
    <mergeCell ref="C614:I614"/>
    <mergeCell ref="C615:L615"/>
    <mergeCell ref="C616:I616"/>
    <mergeCell ref="C617:L617"/>
    <mergeCell ref="C618:I618"/>
    <mergeCell ref="C619:L619"/>
    <mergeCell ref="C620:I620"/>
    <mergeCell ref="C621:L621"/>
    <mergeCell ref="C622:I622"/>
    <mergeCell ref="C623:L623"/>
    <mergeCell ref="C624:I624"/>
    <mergeCell ref="C625:L625"/>
    <mergeCell ref="C626:I626"/>
    <mergeCell ref="C627:L627"/>
    <mergeCell ref="C628:I628"/>
    <mergeCell ref="C629:L629"/>
    <mergeCell ref="C630:I630"/>
    <mergeCell ref="C631:L631"/>
    <mergeCell ref="C632:I632"/>
    <mergeCell ref="C633:I633"/>
    <mergeCell ref="C634:L634"/>
    <mergeCell ref="C635:I635"/>
    <mergeCell ref="C636:L636"/>
    <mergeCell ref="C637:I637"/>
    <mergeCell ref="C638:L638"/>
    <mergeCell ref="C639:I639"/>
    <mergeCell ref="C640:L640"/>
    <mergeCell ref="C641:I641"/>
    <mergeCell ref="C642:L642"/>
    <mergeCell ref="C643:I643"/>
    <mergeCell ref="C644:I644"/>
    <mergeCell ref="C645:L645"/>
    <mergeCell ref="C646:I646"/>
    <mergeCell ref="C647:L647"/>
    <mergeCell ref="C648:I648"/>
    <mergeCell ref="C649:L649"/>
    <mergeCell ref="C650:I650"/>
    <mergeCell ref="C651:I651"/>
    <mergeCell ref="C652:L652"/>
    <mergeCell ref="C653:I653"/>
    <mergeCell ref="C654:I654"/>
    <mergeCell ref="C655:I655"/>
    <mergeCell ref="C656:L656"/>
    <mergeCell ref="C657:I657"/>
    <mergeCell ref="C658:L658"/>
    <mergeCell ref="C659:I659"/>
    <mergeCell ref="C660:L660"/>
    <mergeCell ref="C661:I661"/>
    <mergeCell ref="C662:L662"/>
    <mergeCell ref="C663:I663"/>
    <mergeCell ref="C664:L664"/>
    <mergeCell ref="C667:I667"/>
    <mergeCell ref="C668:L668"/>
    <mergeCell ref="C669:I669"/>
    <mergeCell ref="C670:L670"/>
    <mergeCell ref="C671:I671"/>
    <mergeCell ref="C672:I672"/>
    <mergeCell ref="C673:L673"/>
    <mergeCell ref="C676:I676"/>
    <mergeCell ref="C677:L677"/>
    <mergeCell ref="C680:I680"/>
    <mergeCell ref="C681:L681"/>
    <mergeCell ref="C682:I682"/>
    <mergeCell ref="C683:L683"/>
    <mergeCell ref="C684:I684"/>
    <mergeCell ref="C685:I685"/>
    <mergeCell ref="C686:L686"/>
    <mergeCell ref="C691:I691"/>
    <mergeCell ref="C692:L692"/>
    <mergeCell ref="C695:I695"/>
    <mergeCell ref="C696:I696"/>
    <mergeCell ref="C697:I697"/>
    <mergeCell ref="C698:L698"/>
    <mergeCell ref="C701:I701"/>
    <mergeCell ref="C702:I702"/>
    <mergeCell ref="C703:L703"/>
    <mergeCell ref="C706:I706"/>
    <mergeCell ref="C707:L707"/>
    <mergeCell ref="C710:I710"/>
    <mergeCell ref="C711:I711"/>
    <mergeCell ref="C712:L712"/>
    <mergeCell ref="C713:I713"/>
    <mergeCell ref="C714:I714"/>
    <mergeCell ref="C715:I715"/>
    <mergeCell ref="C716:L716"/>
    <mergeCell ref="C725:I725"/>
    <mergeCell ref="C726:I726"/>
    <mergeCell ref="C727:L727"/>
    <mergeCell ref="C728:I728"/>
    <mergeCell ref="C729:I729"/>
    <mergeCell ref="C730:L730"/>
    <mergeCell ref="C736:I736"/>
    <mergeCell ref="C737:L737"/>
    <mergeCell ref="C747:I747"/>
    <mergeCell ref="C748:I748"/>
    <mergeCell ref="C749:L749"/>
    <mergeCell ref="C754:I754"/>
    <mergeCell ref="C755:I755"/>
    <mergeCell ref="C756:L756"/>
    <mergeCell ref="C766:I766"/>
    <mergeCell ref="C767:L767"/>
    <mergeCell ref="C768:I768"/>
    <mergeCell ref="C769:L769"/>
    <mergeCell ref="C775:I775"/>
    <mergeCell ref="C776:L776"/>
    <mergeCell ref="C782:I782"/>
    <mergeCell ref="C783:I783"/>
    <mergeCell ref="C784:L784"/>
    <mergeCell ref="C797:I797"/>
    <mergeCell ref="C798:I798"/>
    <mergeCell ref="C799:L799"/>
    <mergeCell ref="C803:I803"/>
    <mergeCell ref="C804:L804"/>
    <mergeCell ref="C822:I822"/>
    <mergeCell ref="C823:I823"/>
    <mergeCell ref="C824:L824"/>
    <mergeCell ref="C828:I828"/>
    <mergeCell ref="C829:L829"/>
    <mergeCell ref="C833:I833"/>
    <mergeCell ref="C834:L834"/>
    <mergeCell ref="C838:I838"/>
    <mergeCell ref="C839:I839"/>
    <mergeCell ref="C840:L840"/>
    <mergeCell ref="C844:I844"/>
    <mergeCell ref="C845:L845"/>
    <mergeCell ref="C849:I849"/>
    <mergeCell ref="C850:I850"/>
    <mergeCell ref="C851:I851"/>
    <mergeCell ref="C852:L852"/>
    <mergeCell ref="C853:I853"/>
    <mergeCell ref="C854:L854"/>
    <mergeCell ref="C855:I855"/>
    <mergeCell ref="C856:L856"/>
    <mergeCell ref="C857:I857"/>
    <mergeCell ref="C858:L858"/>
    <mergeCell ref="C859:I859"/>
    <mergeCell ref="C860:L860"/>
    <mergeCell ref="C861:I861"/>
    <mergeCell ref="C862:L862"/>
    <mergeCell ref="C863:I863"/>
    <mergeCell ref="C864:L864"/>
    <mergeCell ref="C865:I865"/>
    <mergeCell ref="C866:I866"/>
    <mergeCell ref="C867:L867"/>
    <mergeCell ref="C875:I875"/>
    <mergeCell ref="C876:I876"/>
    <mergeCell ref="C877:L877"/>
    <mergeCell ref="C878:I878"/>
    <mergeCell ref="C879:L879"/>
    <mergeCell ref="C880:I880"/>
    <mergeCell ref="C881:L881"/>
    <mergeCell ref="C882:I882"/>
    <mergeCell ref="C883:L883"/>
    <mergeCell ref="C884:I884"/>
    <mergeCell ref="C885:L885"/>
    <mergeCell ref="C886:I886"/>
    <mergeCell ref="C887:L887"/>
    <mergeCell ref="C888:I888"/>
    <mergeCell ref="C889:L889"/>
    <mergeCell ref="C890:I890"/>
    <mergeCell ref="C891:L891"/>
    <mergeCell ref="C892:I892"/>
    <mergeCell ref="C893:L893"/>
    <mergeCell ref="C894:I894"/>
    <mergeCell ref="C895:I895"/>
    <mergeCell ref="C896:L896"/>
    <mergeCell ref="C897:I897"/>
    <mergeCell ref="C898:L898"/>
    <mergeCell ref="C899:I899"/>
    <mergeCell ref="C900:L900"/>
    <mergeCell ref="C904:I904"/>
    <mergeCell ref="C905:L905"/>
    <mergeCell ref="C908:I908"/>
    <mergeCell ref="C909:L909"/>
    <mergeCell ref="C910:I910"/>
    <mergeCell ref="C911:L911"/>
    <mergeCell ref="C912:I912"/>
    <mergeCell ref="C913:I913"/>
    <mergeCell ref="C914:L914"/>
    <mergeCell ref="C915:I915"/>
    <mergeCell ref="C916:I916"/>
    <mergeCell ref="C917:I917"/>
    <mergeCell ref="C918:L918"/>
    <mergeCell ref="C919:I919"/>
    <mergeCell ref="C920:L920"/>
    <mergeCell ref="C921:I921"/>
    <mergeCell ref="C922:L922"/>
    <mergeCell ref="C945:I945"/>
    <mergeCell ref="C946:L946"/>
    <mergeCell ref="C950:I950"/>
    <mergeCell ref="C951:L951"/>
    <mergeCell ref="C958:I958"/>
    <mergeCell ref="C959:L959"/>
    <mergeCell ref="C977:I977"/>
    <mergeCell ref="C923:I923"/>
    <mergeCell ref="C924:L924"/>
    <mergeCell ref="C925:I925"/>
    <mergeCell ref="C926:I926"/>
    <mergeCell ref="C927:L927"/>
    <mergeCell ref="C931:I931"/>
    <mergeCell ref="C932:L932"/>
    <mergeCell ref="C936:I936"/>
    <mergeCell ref="C937:L937"/>
    <mergeCell ref="C1017:I1017"/>
    <mergeCell ref="C1018:I1018"/>
    <mergeCell ref="C1019:L1019"/>
    <mergeCell ref="B1:I1"/>
    <mergeCell ref="C1008:L1008"/>
    <mergeCell ref="C1009:I1009"/>
    <mergeCell ref="C1010:I1010"/>
    <mergeCell ref="C1011:L1011"/>
    <mergeCell ref="C1012:I1012"/>
    <mergeCell ref="C1013:L1013"/>
    <mergeCell ref="C1014:I1014"/>
    <mergeCell ref="C1015:I1015"/>
    <mergeCell ref="C1016:L1016"/>
    <mergeCell ref="C978:L978"/>
    <mergeCell ref="C996:I996"/>
    <mergeCell ref="C997:I997"/>
    <mergeCell ref="C998:L998"/>
    <mergeCell ref="C1001:I1001"/>
    <mergeCell ref="C1002:I1002"/>
    <mergeCell ref="C1003:L1003"/>
    <mergeCell ref="C1006:I1006"/>
    <mergeCell ref="C1007:I1007"/>
    <mergeCell ref="C940:I940"/>
    <mergeCell ref="C941:L941"/>
  </mergeCells>
  <pageMargins left="0.62007900000000005" right="0.472441" top="1.0334650000000001" bottom="0.82677199999999995"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dc:creator>
  <cp:lastModifiedBy>Paula</cp:lastModifiedBy>
  <dcterms:created xsi:type="dcterms:W3CDTF">2025-10-28T10:49:45Z</dcterms:created>
  <dcterms:modified xsi:type="dcterms:W3CDTF">2025-10-28T10:54:03Z</dcterms:modified>
</cp:coreProperties>
</file>