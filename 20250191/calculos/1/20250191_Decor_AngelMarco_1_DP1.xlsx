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91\calculos\1\"/>
    </mc:Choice>
  </mc:AlternateContent>
  <xr:revisionPtr revIDLastSave="0" documentId="13_ncr:1_{4D725F70-5E02-4FFE-81F9-694DFB6FC8EF}" xr6:coauthVersionLast="47" xr6:coauthVersionMax="47" xr10:uidLastSave="{00000000-0000-0000-0000-000000000000}"/>
  <bookViews>
    <workbookView xWindow="3120" yWindow="1290" windowWidth="18930" windowHeight="1491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<sst xmlns="http://schemas.openxmlformats.org/spreadsheetml/2006/main" count="5396" uniqueCount="1449">
  <si>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</si>
  <si>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</si>
  <si>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</si>
  <si>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</si>
  <si>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</si>
  <si>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</si>
  <si>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</si>
  <si>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</si>
  <si>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</si>
  <si>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</si>
  <si>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</si>
  <si>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</si>
  <si>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</si>
  <si>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</si>
  <si>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</si>
  <si>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</si>
  <si>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</si>
  <si>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</si>
  <si>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</si>
  <si>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</si>
  <si>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</si>
  <si>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</si>
  <si>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</si>
  <si>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</si>
  <si>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</si>
  <si>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</si>
  <si>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</si>
  <si>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</si>
  <si>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</si>
  <si>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</si>
  <si>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</si>
  <si>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</si>
  <si>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</si>
  <si>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</si>
  <si>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</si>
  <si>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</si>
  <si>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</si>
  <si>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</si>
  <si>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</si>
  <si>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</si>
  <si>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</si>
  <si>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</si>
  <si>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</si>
  <si>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</si>
  <si>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</si>
  <si>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</si>
  <si>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</si>
  <si>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</si>
  <si>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</si>
  <si>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</si>
  <si>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</si>
  <si>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</si>
  <si>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</si>
  <si>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</si>
  <si>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</si>
  <si>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</si>
  <si>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</si>
  <si>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</si>
  <si>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</si>
  <si>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</si>
  <si>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</si>
  <si>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</si>
  <si>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</si>
  <si>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</si>
  <si>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</si>
  <si>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</si>
  <si>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</si>
  <si>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</si>
  <si>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</si>
  <si>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</si>
  <si>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</si>
  <si>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</si>
  <si>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</si>
  <si>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</si>
  <si>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</si>
  <si>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</si>
  <si>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</si>
  <si>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</si>
  <si>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</si>
  <si>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</si>
  <si>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</si>
  <si>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</si>
  <si>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</si>
  <si>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</si>
  <si>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</si>
  <si>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</si>
  <si>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</si>
  <si>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</si>
  <si>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</si>
  <si>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</si>
  <si>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</si>
  <si>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</si>
  <si>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</si>
  <si>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</si>
  <si>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</si>
  <si>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</si>
  <si>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</si>
  <si>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</si>
  <si>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</si>
  <si>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</si>
  <si>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</si>
  <si>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</si>
  <si>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</si>
  <si>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</si>
  <si>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</si>
  <si>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</si>
  <si>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</si>
  <si>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</si>
  <si>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</si>
  <si>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</si>
  <si>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</si>
  <si>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</si>
  <si>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</si>
  <si>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</si>
  <si>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</si>
  <si>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</si>
  <si>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</si>
  <si>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</si>
  <si>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</si>
  <si>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</si>
  <si>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</si>
  <si>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</si>
  <si>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</si>
  <si>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</si>
  <si>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</si>
  <si>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</si>
  <si>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</si>
  <si>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</si>
  <si>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</si>
  <si>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</si>
  <si>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</si>
  <si>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</si>
  <si>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</si>
  <si>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</si>
  <si>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</si>
  <si>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</si>
  <si>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</si>
  <si>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</si>
  <si>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</si>
  <si>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</si>
  <si>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</si>
  <si>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</si>
  <si>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</si>
  <si>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</si>
  <si>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</si>
  <si>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</si>
  <si>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</si>
  <si>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</si>
  <si>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</si>
  <si>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</si>
  <si>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</si>
  <si>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</si>
  <si>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</si>
  <si>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</si>
  <si>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</si>
  <si>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</si>
  <si>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</si>
  <si>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</si>
  <si>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</si>
  <si>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</si>
  <si>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</si>
  <si>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</si>
  <si>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</si>
  <si>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</si>
  <si>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</si>
  <si>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</si>
  <si>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</si>
  <si>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</si>
  <si>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</si>
  <si>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</si>
  <si>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</si>
  <si>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</si>
  <si>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</si>
  <si>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</si>
  <si>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</si>
  <si>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</si>
  <si>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</si>
  <si>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</si>
  <si>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</si>
  <si>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</si>
  <si>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</si>
  <si>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</si>
  <si>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</si>
  <si>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</si>
  <si>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</si>
  <si>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</si>
  <si>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</si>
  <si>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</si>
  <si>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</si>
  <si>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</si>
  <si>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</si>
  <si>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</si>
  <si>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</si>
  <si>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</si>
  <si>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</si>
  <si>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</si>
  <si>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</si>
  <si>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</si>
  <si>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</si>
  <si>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</si>
  <si>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</si>
  <si>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</si>
  <si>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</si>
  <si>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</si>
  <si>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</si>
  <si>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</si>
  <si>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</si>
  <si>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</si>
  <si>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</si>
  <si>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</si>
  <si>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</si>
  <si>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</si>
  <si>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</si>
  <si>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</si>
  <si>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</si>
  <si>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</si>
  <si>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</si>
  <si>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</si>
  <si>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</si>
  <si>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</si>
  <si>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</si>
  <si>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</si>
  <si>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</si>
  <si>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</si>
  <si>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</si>
  <si>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</si>
  <si>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</si>
  <si>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</si>
  <si>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</si>
  <si>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</si>
  <si>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</si>
  <si>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</si>
  <si>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</si>
  <si>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</si>
  <si>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</si>
  <si>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</si>
  <si>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</si>
  <si>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</si>
  <si>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</si>
  <si>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</si>
  <si>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</si>
  <si>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</si>
  <si>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</si>
  <si>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</si>
  <si>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</si>
  <si>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</si>
  <si>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</si>
  <si>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</si>
  <si>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</si>
  <si>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</si>
  <si>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</si>
  <si>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</si>
  <si>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</si>
  <si>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</si>
  <si>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</si>
  <si>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</si>
  <si>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</si>
  <si>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</si>
  <si>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</si>
  <si>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</si>
  <si>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</si>
  <si>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</si>
  <si>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</si>
  <si>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</si>
  <si>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</si>
  <si>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</si>
  <si>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</si>
  <si>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</si>
  <si>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</si>
  <si>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</si>
  <si>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</si>
  <si>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</si>
  <si>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</si>
  <si>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</si>
  <si>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</si>
  <si>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</si>
  <si>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</si>
  <si>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</si>
  <si>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</si>
  <si>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</si>
  <si>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</si>
  <si>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</si>
  <si>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</si>
  <si>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</si>
  <si>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</si>
  <si>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</si>
  <si>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</si>
  <si>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</si>
  <si>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</si>
  <si>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</si>
  <si>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</si>
  <si>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</si>
  <si>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</si>
  <si>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</si>
  <si>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</si>
  <si>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</si>
  <si>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</si>
  <si>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</si>
  <si>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</si>
  <si>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</si>
  <si>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</si>
  <si>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</si>
  <si>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</si>
  <si>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</si>
  <si>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</si>
  <si>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</si>
  <si>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</si>
  <si>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</si>
  <si>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</si>
  <si>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</si>
  <si>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</si>
  <si>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</si>
  <si>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</si>
  <si>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</si>
  <si>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</si>
  <si>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</si>
  <si>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</si>
  <si>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</si>
  <si>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</si>
  <si>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</si>
  <si>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</si>
  <si>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</si>
  <si>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</si>
  <si>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</si>
  <si>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</si>
  <si>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</si>
  <si>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</si>
  <si>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</si>
  <si>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</si>
  <si>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</si>
  <si>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</si>
  <si>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</si>
  <si>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</si>
  <si>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</si>
  <si>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</si>
  <si>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</si>
  <si>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</si>
  <si>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</si>
  <si>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</si>
  <si>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</si>
  <si>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</si>
  <si>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</si>
  <si>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</si>
  <si>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</si>
  <si>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</si>
  <si>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</si>
  <si>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</si>
  <si>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</si>
  <si>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</si>
  <si>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</si>
  <si>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</si>
  <si>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</si>
  <si>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</si>
  <si>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</si>
  <si>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</si>
  <si>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</si>
  <si>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</si>
  <si>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</si>
  <si>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</si>
  <si>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</si>
  <si>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</si>
  <si>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</si>
  <si>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</si>
  <si>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</si>
  <si>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</si>
  <si>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</si>
  <si>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</si>
  <si>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</si>
  <si>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</si>
  <si>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</si>
  <si>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</si>
  <si>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</si>
  <si>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</si>
  <si>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</si>
  <si>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</si>
  <si>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</si>
  <si>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</si>
  <si>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</si>
  <si>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</si>
  <si>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</si>
  <si>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</si>
  <si>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</si>
  <si>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</si>
  <si>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</si>
  <si>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</si>
  <si>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</si>
  <si>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</si>
  <si>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</si>
  <si>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</si>
  <si>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</si>
  <si>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</si>
  <si>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</si>
  <si>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</si>
  <si>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</si>
  <si>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</si>
  <si>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</si>
  <si>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</si>
  <si>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</si>
  <si>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</si>
  <si>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</si>
  <si>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</si>
  <si>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</si>
  <si>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</si>
  <si>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</si>
  <si>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</si>
  <si>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</si>
  <si>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</si>
  <si>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</si>
  <si>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</si>
  <si>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</si>
  <si>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</si>
  <si>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</si>
  <si>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</si>
  <si>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</si>
  <si>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</si>
  <si>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</si>
  <si>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</si>
  <si>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</si>
  <si>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</si>
  <si>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</si>
  <si>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</si>
  <si>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</si>
  <si>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</si>
  <si>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</si>
  <si>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</si>
  <si>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</si>
  <si>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</si>
  <si>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</si>
  <si>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</si>
  <si>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</si>
  <si>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</si>
  <si>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</si>
  <si>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</si>
  <si>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</si>
  <si>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</si>
  <si>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</si>
  <si>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</si>
  <si>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</si>
  <si>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</si>
  <si>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</si>
  <si>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</si>
  <si>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</si>
  <si>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</si>
  <si>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</si>
  <si>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</si>
  <si>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</si>
  <si>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</si>
  <si>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</si>
  <si>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</si>
  <si>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</si>
  <si>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</si>
  <si>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</si>
  <si>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</si>
  <si>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</si>
  <si>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</si>
  <si>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</si>
  <si>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</si>
  <si>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</si>
  <si>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</si>
  <si>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</si>
  <si>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</si>
  <si>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</si>
  <si>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</si>
  <si>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</si>
  <si>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</si>
  <si>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</si>
  <si>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</si>
  <si>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</si>
  <si>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</si>
  <si>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</si>
  <si>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</si>
  <si>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</si>
  <si>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</si>
  <si>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</si>
  <si>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</si>
  <si>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</si>
  <si>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</si>
  <si>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</si>
  <si>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</si>
  <si>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</si>
  <si>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</si>
  <si>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</si>
  <si>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</si>
  <si>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</si>
  <si>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</si>
  <si>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</si>
  <si>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</si>
  <si>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</si>
  <si>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</si>
  <si>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</si>
  <si>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</si>
  <si>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</si>
  <si>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</si>
  <si>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</si>
  <si>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</si>
  <si>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</si>
  <si>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</si>
  <si>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</si>
  <si>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</si>
  <si>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</si>
  <si>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</si>
  <si>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</si>
  <si>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</si>
  <si>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</si>
  <si>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</si>
  <si>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</si>
  <si>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</si>
  <si>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</si>
  <si>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</si>
  <si>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</si>
  <si>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</si>
  <si>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</si>
  <si>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</si>
  <si>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</si>
  <si>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</si>
  <si>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</si>
  <si>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</si>
  <si>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</si>
  <si>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</si>
  <si>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</si>
  <si>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</si>
  <si>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</si>
  <si>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</si>
  <si>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</si>
  <si>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</si>
  <si>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</si>
  <si>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</si>
  <si>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</si>
  <si>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</si>
  <si>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</si>
  <si>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</si>
  <si>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</si>
  <si>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</si>
  <si>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</si>
  <si>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</si>
  <si>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</si>
  <si>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</si>
  <si>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</si>
  <si>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</si>
  <si>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</si>
  <si>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</si>
  <si>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</si>
  <si>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</si>
  <si>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</si>
  <si>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</si>
  <si>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</si>
  <si>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</si>
  <si>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</si>
  <si>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</si>
  <si>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</si>
  <si>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</si>
  <si>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</si>
  <si>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</si>
  <si>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</si>
  <si>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</si>
  <si>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</si>
  <si>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</si>
  <si>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</si>
  <si>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</si>
  <si>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</si>
  <si>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</si>
  <si>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</si>
  <si>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</si>
  <si>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</si>
  <si>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</si>
  <si>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</si>
  <si>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</si>
  <si>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</si>
  <si>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</si>
  <si>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</si>
  <si>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</si>
  <si>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</si>
  <si>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</si>
  <si>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</si>
  <si>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</si>
  <si>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</si>
  <si>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</si>
  <si>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</si>
  <si>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</si>
  <si>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</si>
  <si>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</si>
  <si>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</si>
  <si>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</si>
  <si>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</si>
  <si>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</si>
  <si>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</si>
  <si>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</si>
  <si>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</si>
  <si>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</si>
  <si>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</si>
  <si>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</si>
  <si>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</si>
  <si>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</si>
  <si>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</si>
  <si>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</si>
  <si>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</si>
  <si>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</si>
  <si>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</si>
  <si>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</si>
  <si>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</si>
  <si>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</si>
  <si>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</si>
  <si>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</si>
  <si>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</si>
  <si>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</si>
  <si>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</si>
  <si>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</si>
  <si>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</si>
  <si>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</si>
  <si>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</si>
  <si>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</si>
  <si>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</si>
  <si>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</si>
  <si>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</si>
  <si>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</si>
  <si>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</si>
  <si>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</si>
  <si>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</si>
  <si>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</si>
  <si>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</si>
  <si>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</si>
  <si>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</si>
  <si>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</si>
  <si>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</si>
  <si>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</si>
  <si>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</si>
  <si>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</si>
  <si>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</si>
  <si>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</si>
  <si>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</si>
  <si>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</si>
  <si>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</si>
  <si>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</si>
  <si>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</si>
  <si>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</si>
  <si>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</si>
  <si>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</si>
  <si>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</si>
  <si>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</si>
  <si>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</si>
  <si>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</si>
  <si>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</si>
  <si>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</si>
  <si>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</si>
  <si>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</si>
  <si>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</si>
  <si>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</si>
  <si>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</si>
  <si>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</si>
  <si>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</si>
  <si>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</si>
  <si>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</si>
  <si>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</si>
  <si>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</si>
  <si>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</si>
  <si>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</si>
  <si>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</si>
  <si>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</si>
  <si>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</si>
  <si>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</si>
  <si>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</si>
  <si>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</si>
  <si>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</si>
  <si>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</si>
  <si>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</si>
  <si>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</si>
  <si>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</si>
  <si>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</si>
  <si>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</si>
  <si>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</si>
  <si>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</si>
  <si>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</si>
  <si>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</si>
  <si>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</si>
  <si>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</si>
  <si>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</si>
  <si>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</si>
  <si>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</si>
  <si>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</si>
  <si>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</si>
  <si>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</si>
  <si>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</si>
  <si>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</si>
  <si>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</si>
  <si>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</si>
  <si>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</si>
  <si>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</si>
  <si>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</si>
  <si>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</si>
  <si>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</si>
  <si>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</si>
  <si>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</si>
  <si>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</si>
  <si>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</si>
  <si>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</si>
  <si>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</si>
  <si>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</si>
  <si>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</si>
  <si>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</si>
  <si>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</si>
  <si>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</si>
  <si>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</si>
  <si>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</si>
  <si>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</si>
  <si>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</si>
  <si>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</si>
  <si>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</si>
  <si>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</si>
  <si>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</si>
  <si>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</si>
  <si>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</si>
  <si>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</si>
  <si>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</si>
  <si>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</si>
  <si>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</si>
  <si>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</si>
  <si>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</si>
  <si>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</si>
  <si>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</si>
  <si>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</si>
  <si>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</si>
  <si>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</si>
  <si>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</si>
  <si>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</si>
  <si>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</si>
  <si>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</si>
  <si>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</si>
  <si>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</si>
  <si>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</si>
  <si>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</si>
  <si>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</si>
  <si>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</si>
  <si>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</si>
  <si>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</si>
  <si>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</si>
  <si>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</si>
  <si>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</si>
  <si>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</si>
  <si>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</si>
  <si>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</si>
  <si>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</si>
  <si>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</si>
  <si>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</si>
  <si>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</si>
  <si>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</si>
  <si>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</si>
  <si>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</si>
  <si>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</si>
  <si>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</si>
  <si>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</si>
  <si>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</si>
  <si>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</si>
  <si>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</si>
  <si>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</si>
  <si>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</si>
  <si>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</si>
  <si>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</si>
  <si>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</si>
  <si>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</si>
  <si>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</si>
  <si>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</si>
  <si>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</si>
  <si>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</si>
  <si>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</si>
  <si>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</si>
  <si>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</si>
  <si>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</si>
  <si>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</si>
  <si>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</si>
  <si>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</si>
  <si>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</si>
  <si>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</si>
  <si>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</si>
  <si>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</si>
  <si>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</si>
  <si>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</si>
  <si>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</si>
  <si>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</si>
  <si>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</si>
  <si>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</si>
  <si>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</si>
  <si>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</si>
  <si>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</si>
  <si>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</si>
  <si>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</si>
  <si>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</si>
  <si>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</si>
  <si>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</si>
  <si>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</si>
  <si>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</si>
  <si>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</si>
  <si>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</si>
  <si>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</si>
  <si>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</si>
  <si>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</si>
  <si>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</si>
  <si>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</si>
  <si>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</si>
  <si>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</si>
  <si>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</si>
  <si>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</si>
  <si>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</si>
  <si>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</si>
  <si>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</si>
  <si>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</si>
  <si>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</si>
  <si>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</si>
  <si>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</si>
  <si>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</si>
  <si>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</si>
  <si>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</si>
  <si>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</si>
  <si>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</si>
  <si>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</si>
  <si>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</si>
  <si>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</si>
  <si>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</si>
  <si>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</si>
  <si>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</si>
  <si>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</si>
  <si>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</si>
  <si>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</si>
  <si>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</si>
  <si>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</si>
  <si>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</si>
  <si>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</si>
  <si>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</si>
  <si>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</si>
  <si>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</si>
  <si>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</si>
  <si>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</si>
  <si>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</si>
  <si>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</si>
  <si>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</si>
  <si>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</si>
  <si>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</si>
  <si>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</si>
  <si>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</si>
  <si>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</si>
  <si>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</si>
  <si>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</si>
  <si>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</si>
  <si>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</si>
  <si>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</si>
  <si>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</si>
  <si>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</si>
  <si>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</si>
  <si>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</si>
  <si>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</si>
  <si>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</si>
  <si>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</si>
  <si>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</si>
  <si>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</si>
  <si>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</si>
  <si>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</si>
  <si>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</si>
  <si>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</si>
  <si>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</si>
  <si>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</si>
  <si>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</si>
  <si>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</si>
  <si>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</si>
  <si>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</si>
  <si>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</si>
  <si>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</si>
  <si>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</si>
  <si>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</si>
  <si>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</si>
  <si>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</si>
  <si>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</si>
  <si>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</si>
  <si>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</si>
  <si>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</si>
  <si>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</si>
  <si>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</si>
  <si>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</si>
  <si>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</si>
  <si>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</si>
  <si>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</si>
  <si>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</si>
  <si>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</si>
  <si>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</si>
  <si>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</si>
  <si>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</si>
  <si>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</si>
  <si>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</si>
  <si>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</si>
  <si>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</si>
  <si>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</si>
  <si>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</si>
  <si>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</si>
  <si>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</si>
  <si>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</si>
  <si>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</si>
  <si>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</si>
  <si>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</si>
  <si>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</si>
  <si>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</si>
  <si>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</si>
  <si>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</si>
  <si>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</si>
  <si>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</si>
  <si>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</si>
  <si>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</si>
  <si>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</si>
  <si>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</si>
  <si>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</si>
  <si>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</si>
  <si>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</si>
  <si>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</si>
  <si>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</si>
  <si>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</si>
  <si>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</si>
  <si>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</si>
  <si>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</si>
  <si>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</si>
  <si>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</si>
  <si>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</si>
  <si>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</si>
  <si>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</si>
  <si>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</si>
  <si>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</si>
  <si>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</si>
  <si>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</si>
  <si>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</si>
  <si>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</si>
  <si>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</si>
  <si>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</si>
  <si>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</si>
  <si>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</si>
  <si>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</si>
  <si>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</si>
  <si>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</si>
  <si>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</si>
  <si>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</si>
  <si>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</si>
  <si>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</si>
  <si>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</si>
  <si>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</si>
  <si>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</si>
  <si>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</si>
  <si>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</si>
  <si>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</si>
  <si>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</si>
  <si>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</si>
  <si>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</si>
  <si>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</si>
  <si>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</si>
  <si>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</si>
  <si>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</si>
  <si>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</si>
  <si>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</si>
  <si>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</si>
  <si>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</si>
  <si>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</si>
  <si>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</si>
  <si>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</si>
  <si>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</si>
  <si>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</si>
  <si>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</si>
  <si>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</si>
  <si>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</si>
  <si>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</si>
  <si>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</si>
  <si>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</si>
  <si>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</si>
  <si>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</si>
  <si>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</si>
  <si>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</si>
  <si>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</si>
  <si>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</si>
  <si>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</si>
  <si>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</si>
  <si>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</si>
  <si>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</si>
  <si>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</si>
  <si>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</si>
  <si>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</si>
  <si>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</si>
  <si>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</si>
  <si>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</si>
  <si>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</si>
  <si>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</si>
  <si>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</si>
  <si>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</si>
  <si>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</si>
  <si>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</si>
  <si>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</si>
  <si>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</si>
  <si>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</si>
  <si>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</si>
  <si>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</si>
  <si>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</si>
  <si>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</si>
  <si>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</si>
  <si>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</si>
  <si>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</si>
  <si>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</si>
  <si>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</si>
  <si>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</si>
  <si>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</si>
  <si>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</si>
  <si>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</si>
  <si>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</si>
  <si>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</si>
  <si>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</si>
  <si>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</si>
  <si>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</si>
  <si>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</si>
  <si>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</si>
  <si>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</si>
  <si>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</si>
  <si>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</si>
  <si>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</si>
  <si>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</si>
  <si>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</si>
  <si>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</si>
  <si>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</si>
  <si>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</si>
  <si>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</si>
  <si>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</si>
  <si>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</si>
  <si>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</si>
  <si>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</si>
  <si>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</si>
  <si>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</si>
  <si>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</si>
  <si>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</si>
  <si>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</si>
  <si>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</si>
  <si>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</si>
  <si>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</si>
  <si>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</si>
  <si>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</si>
  <si>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</si>
  <si>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</si>
  <si>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</si>
  <si>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</si>
  <si>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</si>
  <si>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</si>
  <si>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</si>
  <si>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</si>
  <si>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</si>
  <si>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</si>
  <si>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</si>
  <si>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</si>
  <si>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</si>
  <si>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</si>
  <si>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</si>
  <si>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</si>
  <si>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</si>
  <si>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</si>
  <si>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</si>
  <si>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</si>
  <si>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</si>
  <si>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</si>
  <si>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</si>
  <si>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</si>
  <si>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</si>
  <si>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</si>
  <si>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</si>
  <si>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</si>
  <si>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</si>
  <si>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</si>
  <si>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</si>
  <si>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</si>
  <si>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</si>
  <si>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</si>
  <si>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</si>
  <si>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</si>
  <si>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</si>
  <si>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</si>
  <si>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</si>
  <si>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</si>
  <si>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</si>
  <si>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</si>
  <si>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</si>
  <si>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</si>
  <si>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</si>
  <si>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</si>
  <si>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</si>
  <si>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</si>
  <si>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</si>
  <si>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</si>
  <si>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</si>
  <si>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</si>
  <si>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</si>
  <si>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</si>
  <si>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</si>
  <si>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</si>
  <si>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</si>
  <si>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</si>
  <si>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</si>
  <si>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</si>
  <si>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</si>
  <si>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</si>
  <si>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</si>
  <si>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</si>
  <si>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</si>
  <si>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</si>
  <si>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</si>
  <si>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</si>
  <si>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</si>
  <si>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</si>
  <si>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</si>
  <si>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</si>
  <si>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</si>
  <si>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</si>
  <si>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</si>
  <si>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</si>
  <si>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</si>
  <si>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</si>
  <si>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</si>
  <si>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</si>
  <si>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</si>
  <si>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</si>
  <si>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</si>
  <si>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</si>
  <si>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</si>
  <si>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</si>
  <si>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</si>
  <si>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</si>
  <si>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</si>
  <si>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</si>
  <si>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</si>
  <si>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</si>
  <si>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</si>
  <si>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</si>
  <si>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</si>
  <si>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</si>
  <si>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</si>
  <si>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</si>
  <si>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</si>
  <si>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</si>
  <si>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</si>
  <si>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</si>
  <si>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</si>
  <si>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</si>
  <si>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</si>
  <si>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</si>
  <si>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</si>
  <si>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</si>
  <si>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</si>
  <si>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</si>
  <si>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</si>
  <si>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</si>
  <si>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</si>
  <si>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</si>
  <si>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</si>
  <si>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</si>
  <si>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</si>
  <si>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</si>
  <si>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</si>
  <si>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</si>
  <si>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</si>
  <si>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</si>
  <si>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</si>
  <si>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</si>
  <si>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</si>
  <si>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</si>
  <si>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</si>
  <si>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</si>
  <si>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</si>
  <si>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</si>
  <si>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</si>
  <si>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</si>
  <si>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</si>
  <si>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</si>
  <si>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</si>
  <si>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</si>
  <si>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</si>
  <si>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</si>
  <si>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</si>
  <si>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</si>
  <si>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</si>
  <si>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</si>
  <si>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</si>
  <si>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</si>
  <si>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</si>
  <si>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</si>
  <si>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</si>
  <si>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</si>
  <si>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</si>
  <si>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</si>
  <si>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</si>
  <si>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</si>
  <si>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</si>
  <si>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</si>
  <si>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</si>
  <si>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</si>
  <si>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</si>
  <si>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</si>
  <si>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</si>
  <si>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</si>
  <si>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</si>
  <si>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</si>
  <si>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</si>
  <si>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</si>
  <si>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</si>
  <si>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</si>
  <si>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</si>
  <si>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</si>
  <si>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</si>
  <si>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</si>
  <si>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</si>
  <si>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</si>
  <si>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</si>
  <si>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</si>
  <si>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</si>
  <si>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</si>
  <si>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</si>
  <si>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</si>
  <si>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</si>
  <si>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</si>
  <si>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</si>
  <si>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</si>
  <si>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</si>
  <si>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</si>
  <si>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</si>
  <si>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</si>
  <si>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</si>
  <si>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</si>
  <si>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</si>
  <si>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</si>
  <si>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</si>
  <si>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</si>
  <si>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</si>
  <si>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</si>
  <si>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</si>
  <si>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</si>
  <si>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</si>
  <si>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</si>
  <si>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</si>
  <si>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</si>
  <si>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</si>
  <si>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</si>
  <si>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</si>
  <si>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</si>
  <si>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</si>
  <si>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</si>
  <si>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</si>
  <si>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</si>
  <si>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</si>
  <si>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</si>
  <si>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</si>
  <si>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</si>
  <si>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</si>
  <si>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</si>
  <si>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</si>
  <si>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</si>
  <si>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</si>
  <si>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</si>
  <si>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</si>
  <si>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</si>
  <si>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</si>
  <si>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</si>
  <si>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</si>
  <si>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</si>
  <si>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</si>
  <si>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</si>
  <si>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</si>
  <si>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</si>
  <si>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</si>
  <si>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</si>
  <si>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</si>
  <si>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</si>
  <si>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</si>
  <si>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</si>
  <si>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</si>
  <si>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</si>
  <si>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</si>
  <si>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</si>
  <si>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</si>
  <si>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</si>
  <si>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</si>
  <si>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</si>
  <si>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</si>
  <si>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</si>
  <si>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</si>
  <si>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</si>
  <si>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</si>
  <si>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</si>
  <si>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</si>
  <si>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</si>
  <si>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</si>
  <si>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</si>
  <si>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</si>
  <si>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</si>
  <si>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</si>
  <si>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</si>
  <si>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</si>
  <si>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</si>
  <si>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</si>
  <si>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</si>
  <si>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</si>
  <si>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</si>
  <si>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</si>
  <si>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</si>
  <si>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</si>
  <si>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</si>
  <si>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</si>
  <si>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</si>
  <si>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</si>
  <si>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</si>
  <si>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</si>
  <si>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</si>
  <si>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</si>
  <si>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</si>
  <si>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</si>
  <si>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</si>
  <si>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</si>
  <si>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</si>
  <si>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</si>
  <si>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</si>
  <si>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</si>
  <si>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</si>
  <si>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</si>
  <si>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</si>
  <si>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</si>
  <si>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</si>
  <si>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</si>
  <si>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</si>
  <si>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</si>
  <si>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</si>
  <si>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</si>
  <si>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</si>
  <si>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</si>
  <si>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</si>
  <si>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</si>
  <si>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</si>
  <si>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</si>
  <si>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</si>
  <si>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</si>
  <si>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</si>
  <si>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</si>
  <si>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</si>
  <si>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</si>
  <si>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</si>
  <si>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</si>
  <si>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</si>
  <si>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</si>
  <si>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</si>
  <si>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</si>
  <si>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</si>
  <si>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</si>
  <si>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</si>
  <si>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</si>
  <si>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</si>
  <si>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</si>
  <si>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</si>
  <si>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</si>
  <si>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</si>
  <si>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</si>
  <si>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</si>
  <si>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</si>
  <si>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</si>
  <si>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</si>
  <si>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</si>
  <si>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</si>
  <si>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</si>
  <si>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</si>
  <si>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</si>
  <si>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</si>
  <si>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</si>
  <si>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</si>
  <si>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</si>
  <si>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</si>
  <si>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</si>
  <si>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</si>
  <si>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</si>
  <si>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</si>
  <si>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</si>
  <si>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</si>
  <si>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</si>
  <si>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</si>
  <si>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</si>
  <si>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</si>
  <si>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</si>
  <si>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</si>
  <si>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</si>
  <si>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</si>
  <si>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</si>
  <si>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</si>
  <si>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</si>
  <si>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</si>
  <si>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</si>
  <si>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</si>
  <si>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</si>
  <si>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</si>
  <si>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</si>
  <si>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</si>
  <si>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</si>
  <si>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</si>
  <si>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</si>
  <si>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</si>
  <si>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</si>
  <si>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</si>
  <si>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</si>
  <si>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</si>
  <si>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</si>
  <si>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</si>
  <si>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</si>
  <si>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</si>
  <si>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</si>
  <si>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</si>
  <si>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</si>
  <si>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</si>
  <si>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</si>
  <si>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</si>
  <si>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</si>
  <si>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</si>
  <si>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</si>
  <si>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</si>
  <si>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</si>
  <si>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</si>
  <si>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</si>
  <si>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</si>
  <si>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</si>
  <si>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</si>
  <si>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</si>
  <si>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</si>
  <si>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</si>
  <si>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</si>
  <si>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</si>
  <si>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</si>
  <si>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</si>
  <si>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</si>
  <si>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</si>
  <si>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</si>
  <si>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</si>
  <si>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</si>
  <si>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</si>
  <si>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</si>
  <si>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</si>
  <si>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</si>
  <si>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</si>
  <si>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</si>
  <si>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</si>
  <si>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</si>
  <si>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</si>
  <si>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</si>
  <si>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</si>
  <si>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</si>
  <si>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</si>
  <si>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</si>
  <si>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</si>
  <si>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</si>
  <si>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</si>
  <si>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Angel Marco DP1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</si>
</sst>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E18" sqref="E1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20250191</v>
      </c>
      <c r="G7" s="8">
        <f ca="1">TODAY()</f>
        <v>45930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91</v>
      </c>
      <c r="C13" s="78" t="str">
        <f>IFERROR(VLOOKUP($B13,Tarifa_all_20240711!$A$2:$G$660,2,FALSE()),"-")</f>
        <v>MARCO PA PICAP/COND LAC.NEGRO TEXTURADO</v>
      </c>
      <c r="D13" s="78"/>
      <c r="E13" s="17">
        <v>1</v>
      </c>
      <c r="F13" s="18">
        <f>IFERROR(VLOOKUP($B13,Tarifa_all_20240711!$A$2:$G$660,5,FALSE()),"-")</f>
        <v>242.24250000000001</v>
      </c>
      <c r="G13" s="18">
        <f t="shared" ref="G13:G30" si="0">IFERROR(E13*F13,"-")</f>
        <v>242.24250000000001</v>
      </c>
      <c r="H13" s="1"/>
    </row>
    <row r="14" spans="1:12" x14ac:dyDescent="0.25">
      <c r="A14" t="s">
        <v>1434</v>
      </c>
      <c r="B14" s="16" t="s">
        <v>105</v>
      </c>
      <c r="C14" s="78" t="str">
        <f>IFERROR(VLOOKUP($B14,Tarifa_all_20240711!$A$2:$G$660,2,FALSE()),"-")</f>
        <v>KIT PA PIVOTANTE PICAP/COND LAC.NEGRO TEXTURADO</v>
      </c>
      <c r="D14" s="78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1435</v>
      </c>
      <c r="B15" s="16" t="s">
        <v>1079</v>
      </c>
      <c r="C15" s="78" t="str">
        <f>IFERROR(VLOOKUP($B15,Tarifa_all_20240711!$A$2:$G$660,2,FALSE()),"-")</f>
        <v>PA CERRAD+EMB.S/CILINDRO LAC.NEGRO TEXTURADO</v>
      </c>
      <c r="D15" s="78"/>
      <c r="E15" s="17">
        <v>1</v>
      </c>
      <c r="F15" s="18">
        <f>IFERROR(VLOOKUP($B15,Tarifa_all_20240711!$A$2:$G$660,5,FALSE()),"-")</f>
        <v>219.29249999999999</v>
      </c>
      <c r="G15" s="18">
        <f t="shared" si="0"/>
        <v>219.29249999999999</v>
      </c>
      <c r="H15" s="1"/>
    </row>
    <row r="16" spans="1:12" x14ac:dyDescent="0.25">
      <c r="A16" t="s">
        <v>1436</v>
      </c>
      <c r="B16" s="16"/>
      <c r="C16" s="78" t="str">
        <f>IFERROR(VLOOKUP($B16,Tarifa_all_20240711!$A$2:$G$660,2,FALSE()),"-")</f>
        <v>-</v>
      </c>
      <c r="D16" s="78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16" t="s">
        <v>350</v>
      </c>
      <c r="C17" s="78" t="str">
        <f>IFERROR(VLOOKUP($B17,Tarifa_all_20240711!$A$2:$G$660,2,FALSE()),"-")</f>
        <v>MANETA TOULON LAC.NEGRO MATE</v>
      </c>
      <c r="D17" s="78"/>
      <c r="E17" s="17">
        <v>1</v>
      </c>
      <c r="F17" s="18">
        <f>IFERROR(VLOOKUP($B17,Tarifa_all_20240711!$A$2:$G$660,5,FALSE()),"-")</f>
        <v>74.527500000000003</v>
      </c>
      <c r="G17" s="18">
        <f t="shared" si="0"/>
        <v>74.527500000000003</v>
      </c>
      <c r="H17" s="1"/>
    </row>
    <row r="18" spans="1:8" x14ac:dyDescent="0.25">
      <c r="A18" t="s">
        <v>14</v>
      </c>
      <c r="B18" s="16" t="s">
        <v>128</v>
      </c>
      <c r="C18" s="78" t="str">
        <f>IFERROR(VLOOKUP($B18,Tarifa_all_20240711!$A$2:$G$660,2,FALSE()),"-")</f>
        <v>PERFIL EMBELL.HORIZ. ADH LAC.NEGRO TEXTURADO</v>
      </c>
      <c r="D18" s="78"/>
      <c r="E18" s="17">
        <v>4</v>
      </c>
      <c r="F18" s="18">
        <f>IFERROR(VLOOKUP($B18,Tarifa_all_20240711!$A$2:$G$660,5,FALSE()),"-")</f>
        <v>21.794999999999998</v>
      </c>
      <c r="G18" s="18">
        <f t="shared" si="0"/>
        <v>87.179999999999993</v>
      </c>
      <c r="H18" s="1"/>
    </row>
    <row r="19" spans="1:8" x14ac:dyDescent="0.25">
      <c r="B19" s="16"/>
      <c r="C19" s="78" t="str">
        <f>IFERROR(VLOOKUP($B19,Tarifa_all_20240711!$A$2:$G$660,2,FALSE()),"-")</f>
        <v>-</v>
      </c>
      <c r="D19" s="78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78" t="str">
        <f>IFERROR(VLOOKUP($B20,Tarifa_all_20240711!$A$2:$G$660,2,FALSE()),"-")</f>
        <v>-</v>
      </c>
      <c r="D20" s="78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78" t="str">
        <f>IFERROR(VLOOKUP($B21,Tarifa_all_20240711!$A$2:$G$660,2,FALSE()),"-")</f>
        <v>-</v>
      </c>
      <c r="D21" s="78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8" t="str">
        <f>IFERROR(VLOOKUP($B22,Tarifa_all_20240711!$A$2:$G$660,2,FALSE()),"-")</f>
        <v>-</v>
      </c>
      <c r="D22" s="78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8" t="str">
        <f>IFERROR(VLOOKUP($B23,Tarifa_all_20240711!$A$2:$G$660,2,FALSE()),"-")</f>
        <v>-</v>
      </c>
      <c r="D23" s="78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8" t="str">
        <f>IFERROR(VLOOKUP($B24,Tarifa_all_20240711!$A$2:$G$660,2,FALSE()),"-")</f>
        <v>-</v>
      </c>
      <c r="D24" s="78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838.89750000000004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Cristalum Gandia</v>
      </c>
      <c r="C9" s="87"/>
      <c r="D9" s="87"/>
      <c r="F9" s="3" t="s">
        <v>73</v>
      </c>
      <c r="G9" s="44">
        <f ca="1">TODAY()</f>
        <v>45930</v>
      </c>
    </row>
    <row r="10" spans="1:7" x14ac:dyDescent="0.25">
      <c r="A10" s="3" t="s">
        <v>74</v>
      </c>
      <c r="B10" s="11" t="str">
        <f>'DESPIECE (MATANALYSIS)'!C9</f>
        <v>Angel Marco DP1</v>
      </c>
      <c r="C10" s="45"/>
      <c r="D10" s="45"/>
      <c r="E10" s="46"/>
      <c r="F10" s="47" t="s">
        <v>75</v>
      </c>
      <c r="G10" s="7">
        <f>'DESPIECE (MATANALYSIS)'!C7</f>
        <v>20250191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838.89750000000004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755.0077500000001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755.0077500000001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2025-09-30T06:21:38Z</cp:lastPrinted>
  <dcterms:created xsi:type="dcterms:W3CDTF">2024-04-15T12:43:19Z</dcterms:created>
  <dcterms:modified xsi:type="dcterms:W3CDTF">2025-09-30T06:21:48Z</dcterms:modified>
  <dc:language>es-ES</dc:language>
</cp:coreProperties>
</file>