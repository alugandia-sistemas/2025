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9\calculos\1\"/>
    </mc:Choice>
  </mc:AlternateContent>
  <xr:revisionPtr revIDLastSave="0" documentId="13_ncr:1_{8A6BA23C-AA32-42A5-8A73-A1E17E51ACEE}" xr6:coauthVersionLast="47" xr6:coauthVersionMax="47" xr10:uidLastSave="{00000000-0000-0000-0000-000000000000}"/>
  <bookViews>
    <workbookView xWindow="2655" yWindow="585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<sst xmlns="http://schemas.openxmlformats.org/spreadsheetml/2006/main" count="5408" uniqueCount="1457">
  <si>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</si>
  <si>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</si>
  <si>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</si>
  <si>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</si>
  <si>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</si>
  <si>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</si>
  <si>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</si>
  <si>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</si>
  <si>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</si>
  <si>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</si>
  <si>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</si>
  <si>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</si>
  <si>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</si>
  <si>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</si>
  <si>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</si>
  <si>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</si>
  <si>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</si>
  <si>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</si>
  <si>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</si>
  <si>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</si>
  <si>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</si>
  <si>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</si>
  <si>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</si>
  <si>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</si>
  <si>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</si>
  <si>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</si>
  <si>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</si>
  <si>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</si>
  <si>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</si>
  <si>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</si>
  <si>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</si>
  <si>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</si>
  <si>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</si>
  <si>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</si>
  <si>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</si>
  <si>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</si>
  <si>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</si>
  <si>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</si>
  <si>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</si>
  <si>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</si>
  <si>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</si>
  <si>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</si>
  <si>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</si>
  <si>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</si>
  <si>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</si>
  <si>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</si>
  <si>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</si>
  <si>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</si>
  <si>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</si>
  <si>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</si>
  <si>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</si>
  <si>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</si>
  <si>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</si>
  <si>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</si>
  <si>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</si>
  <si>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</si>
  <si>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</si>
  <si>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</si>
  <si>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</si>
  <si>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</si>
  <si>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</si>
  <si>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</si>
  <si>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</si>
  <si>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</si>
  <si>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</si>
  <si>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</si>
  <si>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</si>
  <si>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</si>
  <si>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</si>
  <si>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</si>
  <si>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</si>
  <si>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</si>
  <si>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</si>
  <si>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</si>
  <si>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</si>
  <si>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</si>
  <si>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</si>
  <si>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</si>
  <si>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</si>
  <si>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</si>
  <si>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</si>
  <si>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</si>
  <si>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</si>
  <si>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</si>
  <si>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</si>
  <si>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</si>
  <si>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</si>
  <si>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</si>
  <si>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</si>
  <si>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</si>
  <si>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</si>
  <si>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</si>
  <si>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</si>
  <si>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</si>
  <si>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</si>
  <si>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</si>
  <si>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</si>
  <si>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</si>
  <si>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</si>
  <si>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</si>
  <si>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</si>
  <si>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</si>
  <si>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</si>
  <si>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</si>
  <si>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</si>
  <si>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</si>
  <si>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</si>
  <si>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</si>
  <si>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</si>
  <si>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</si>
  <si>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</si>
  <si>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</si>
  <si>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</si>
  <si>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</si>
  <si>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</si>
  <si>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</si>
  <si>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</si>
  <si>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</si>
  <si>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</si>
  <si>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</si>
  <si>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</si>
  <si>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</si>
  <si>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</si>
  <si>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</si>
  <si>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</si>
  <si>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</si>
  <si>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</si>
  <si>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</si>
  <si>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</si>
  <si>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</si>
  <si>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</si>
  <si>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</si>
  <si>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</si>
  <si>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</si>
  <si>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</si>
  <si>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</si>
  <si>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</si>
  <si>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</si>
  <si>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</si>
  <si>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</si>
  <si>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</si>
  <si>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</si>
  <si>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</si>
  <si>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</si>
  <si>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</si>
  <si>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</si>
  <si>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</si>
  <si>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</si>
  <si>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</si>
  <si>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</si>
  <si>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</si>
  <si>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</si>
  <si>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</si>
  <si>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</si>
  <si>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</si>
  <si>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</si>
  <si>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</si>
  <si>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</si>
  <si>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</si>
  <si>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</si>
  <si>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</si>
  <si>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</si>
  <si>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</si>
  <si>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</si>
  <si>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</si>
  <si>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</si>
  <si>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</si>
  <si>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</si>
  <si>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</si>
  <si>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</si>
  <si>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</si>
  <si>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</si>
  <si>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</si>
  <si>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</si>
  <si>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</si>
  <si>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</si>
  <si>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</si>
  <si>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</si>
  <si>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</si>
  <si>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</si>
  <si>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</si>
  <si>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</si>
  <si>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</si>
  <si>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</si>
  <si>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</si>
  <si>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</si>
  <si>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</si>
  <si>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</si>
  <si>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</si>
  <si>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</si>
  <si>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</si>
  <si>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</si>
  <si>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</si>
  <si>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</si>
  <si>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</si>
  <si>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</si>
  <si>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</si>
  <si>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</si>
  <si>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</si>
  <si>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</si>
  <si>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</si>
  <si>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</si>
  <si>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</si>
  <si>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</si>
  <si>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</si>
  <si>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</si>
  <si>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</si>
  <si>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</si>
  <si>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</si>
  <si>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</si>
  <si>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</si>
  <si>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</si>
  <si>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</si>
  <si>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</si>
  <si>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</si>
  <si>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</si>
  <si>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</si>
  <si>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</si>
  <si>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</si>
  <si>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</si>
  <si>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</si>
  <si>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</si>
  <si>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</si>
  <si>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</si>
  <si>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</si>
  <si>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</si>
  <si>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</si>
  <si>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</si>
  <si>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</si>
  <si>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</si>
  <si>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</si>
  <si>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</si>
  <si>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</si>
  <si>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</si>
  <si>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</si>
  <si>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</si>
  <si>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</si>
  <si>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</si>
  <si>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</si>
  <si>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</si>
  <si>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</si>
  <si>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</si>
  <si>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</si>
  <si>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</si>
  <si>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</si>
  <si>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</si>
  <si>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</si>
  <si>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</si>
  <si>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</si>
  <si>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</si>
  <si>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</si>
  <si>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</si>
  <si>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</si>
  <si>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</si>
  <si>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</si>
  <si>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</si>
  <si>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</si>
  <si>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</si>
  <si>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</si>
  <si>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</si>
  <si>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</si>
  <si>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</si>
  <si>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</si>
  <si>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</si>
  <si>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</si>
  <si>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</si>
  <si>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</si>
  <si>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</si>
  <si>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</si>
  <si>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</si>
  <si>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</si>
  <si>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</si>
  <si>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</si>
  <si>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</si>
  <si>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</si>
  <si>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</si>
  <si>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</si>
  <si>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</si>
  <si>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</si>
  <si>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</si>
  <si>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</si>
  <si>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</si>
  <si>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</si>
  <si>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</si>
  <si>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</si>
  <si>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</si>
  <si>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</si>
  <si>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</si>
  <si>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</si>
  <si>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</si>
  <si>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</si>
  <si>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</si>
  <si>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</si>
  <si>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</si>
  <si>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</si>
  <si>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</si>
  <si>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</si>
  <si>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</si>
  <si>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</si>
  <si>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</si>
  <si>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</si>
  <si>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</si>
  <si>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</si>
  <si>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</si>
  <si>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</si>
  <si>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</si>
  <si>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</si>
  <si>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</si>
  <si>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</si>
  <si>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</si>
  <si>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</si>
  <si>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</si>
  <si>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</si>
  <si>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</si>
  <si>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</si>
  <si>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</si>
  <si>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</si>
  <si>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</si>
  <si>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</si>
  <si>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</si>
  <si>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</si>
  <si>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</si>
  <si>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</si>
  <si>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</si>
  <si>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</si>
  <si>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</si>
  <si>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</si>
  <si>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</si>
  <si>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</si>
  <si>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</si>
  <si>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</si>
  <si>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</si>
  <si>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</si>
  <si>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</si>
  <si>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</si>
  <si>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</si>
  <si>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</si>
  <si>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</si>
  <si>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</si>
  <si>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</si>
  <si>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</si>
  <si>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</si>
  <si>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</si>
  <si>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</si>
  <si>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</si>
  <si>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</si>
  <si>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</si>
  <si>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</si>
  <si>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</si>
  <si>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</si>
  <si>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</si>
  <si>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</si>
  <si>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</si>
  <si>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</si>
  <si>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</si>
  <si>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</si>
  <si>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</si>
  <si>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</si>
  <si>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</si>
  <si>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</si>
  <si>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</si>
  <si>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</si>
  <si>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</si>
  <si>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</si>
  <si>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</si>
  <si>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</si>
  <si>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</si>
  <si>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</si>
  <si>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</si>
  <si>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</si>
  <si>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</si>
  <si>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</si>
  <si>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</si>
  <si>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</si>
  <si>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</si>
  <si>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</si>
  <si>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</si>
  <si>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</si>
  <si>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</si>
  <si>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</si>
  <si>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</si>
  <si>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</si>
  <si>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</si>
  <si>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</si>
  <si>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</si>
  <si>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</si>
  <si>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</si>
  <si>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</si>
  <si>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</si>
  <si>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</si>
  <si>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</si>
  <si>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</si>
  <si>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</si>
  <si>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</si>
  <si>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</si>
  <si>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</si>
  <si>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</si>
  <si>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</si>
  <si>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</si>
  <si>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</si>
  <si>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</si>
  <si>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</si>
  <si>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</si>
  <si>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</si>
  <si>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</si>
  <si>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</si>
  <si>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</si>
  <si>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</si>
  <si>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</si>
  <si>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</si>
  <si>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</si>
  <si>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</si>
  <si>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</si>
  <si>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</si>
  <si>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</si>
  <si>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</si>
  <si>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</si>
  <si>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</si>
  <si>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</si>
  <si>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</si>
  <si>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</si>
  <si>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</si>
  <si>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</si>
  <si>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</si>
  <si>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</si>
  <si>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</si>
  <si>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</si>
  <si>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</si>
  <si>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</si>
  <si>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</si>
  <si>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</si>
  <si>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</si>
  <si>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</si>
  <si>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</si>
  <si>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</si>
  <si>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</si>
  <si>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</si>
  <si>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</si>
  <si>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</si>
  <si>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</si>
  <si>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</si>
  <si>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</si>
  <si>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</si>
  <si>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</si>
  <si>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</si>
  <si>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</si>
  <si>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</si>
  <si>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</si>
  <si>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</si>
  <si>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</si>
  <si>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</si>
  <si>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</si>
  <si>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</si>
  <si>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</si>
  <si>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</si>
  <si>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</si>
  <si>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</si>
  <si>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</si>
  <si>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</si>
  <si>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</si>
  <si>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</si>
  <si>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</si>
  <si>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</si>
  <si>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</si>
  <si>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</si>
  <si>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</si>
  <si>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</si>
  <si>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</si>
  <si>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</si>
  <si>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</si>
  <si>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</si>
  <si>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</si>
  <si>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</si>
  <si>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</si>
  <si>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</si>
  <si>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</si>
  <si>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</si>
  <si>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</si>
  <si>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</si>
  <si>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</si>
  <si>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</si>
  <si>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</si>
  <si>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</si>
  <si>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</si>
  <si>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</si>
  <si>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</si>
  <si>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</si>
  <si>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</si>
  <si>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</si>
  <si>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</si>
  <si>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</si>
  <si>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</si>
  <si>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</si>
  <si>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</si>
  <si>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</si>
  <si>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</si>
  <si>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</si>
  <si>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</si>
  <si>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</si>
  <si>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</si>
  <si>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</si>
  <si>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</si>
  <si>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</si>
  <si>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</si>
  <si>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</si>
  <si>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</si>
  <si>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</si>
  <si>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</si>
  <si>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</si>
  <si>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</si>
  <si>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</si>
  <si>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</si>
  <si>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</si>
  <si>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</si>
  <si>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</si>
  <si>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</si>
  <si>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</si>
  <si>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</si>
  <si>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</si>
  <si>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</si>
  <si>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</si>
  <si>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</si>
  <si>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</si>
  <si>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</si>
  <si>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</si>
  <si>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</si>
  <si>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</si>
  <si>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</si>
  <si>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</si>
  <si>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</si>
  <si>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</si>
  <si>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</si>
  <si>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</si>
  <si>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</si>
  <si>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</si>
  <si>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</si>
  <si>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</si>
  <si>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</si>
  <si>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</si>
  <si>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</si>
  <si>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</si>
  <si>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</si>
  <si>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</si>
  <si>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</si>
  <si>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</si>
  <si>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</si>
  <si>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</si>
  <si>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</si>
  <si>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</si>
  <si>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</si>
  <si>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</si>
  <si>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</si>
  <si>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</si>
  <si>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</si>
  <si>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</si>
  <si>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</si>
  <si>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</si>
  <si>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</si>
  <si>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</si>
  <si>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</si>
  <si>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</si>
  <si>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</si>
  <si>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</si>
  <si>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</si>
  <si>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</si>
  <si>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</si>
  <si>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</si>
  <si>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</si>
  <si>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</si>
  <si>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</si>
  <si>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</si>
  <si>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</si>
  <si>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</si>
  <si>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</si>
  <si>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</si>
  <si>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</si>
  <si>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</si>
  <si>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</si>
  <si>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</si>
  <si>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</si>
  <si>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</si>
  <si>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</si>
  <si>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</si>
  <si>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</si>
  <si>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</si>
  <si>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</si>
  <si>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</si>
  <si>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</si>
  <si>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</si>
  <si>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</si>
  <si>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</si>
  <si>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</si>
  <si>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</si>
  <si>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</si>
  <si>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</si>
  <si>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</si>
  <si>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</si>
  <si>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</si>
  <si>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</si>
  <si>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</si>
  <si>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</si>
  <si>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</si>
  <si>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</si>
  <si>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</si>
  <si>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</si>
  <si>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</si>
  <si>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</si>
  <si>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</si>
  <si>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</si>
  <si>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</si>
  <si>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</si>
  <si>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</si>
  <si>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</si>
  <si>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</si>
  <si>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</si>
  <si>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</si>
  <si>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</si>
  <si>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</si>
  <si>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</si>
  <si>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</si>
  <si>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</si>
  <si>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</si>
  <si>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</si>
  <si>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</si>
  <si>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</si>
  <si>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</si>
  <si>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</si>
  <si>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</si>
  <si>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</si>
  <si>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</si>
  <si>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</si>
  <si>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</si>
  <si>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</si>
  <si>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</si>
  <si>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</si>
  <si>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</si>
  <si>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</si>
  <si>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</si>
  <si>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</si>
  <si>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</si>
  <si>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</si>
  <si>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</si>
  <si>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</si>
  <si>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</si>
  <si>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</si>
  <si>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</si>
  <si>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</si>
  <si>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</si>
  <si>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</si>
  <si>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</si>
  <si>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</si>
  <si>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</si>
  <si>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</si>
  <si>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</si>
  <si>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</si>
  <si>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</si>
  <si>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</si>
  <si>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</si>
  <si>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</si>
  <si>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</si>
  <si>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</si>
  <si>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</si>
  <si>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</si>
  <si>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</si>
  <si>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</si>
  <si>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</si>
  <si>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</si>
  <si>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</si>
  <si>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</si>
  <si>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</si>
  <si>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</si>
  <si>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</si>
  <si>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</si>
  <si>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</si>
  <si>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</si>
  <si>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</si>
  <si>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</si>
  <si>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</si>
  <si>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</si>
  <si>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</si>
  <si>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</si>
  <si>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</si>
  <si>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</si>
  <si>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</si>
  <si>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</si>
  <si>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</si>
  <si>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</si>
  <si>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</si>
  <si>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</si>
  <si>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</si>
  <si>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</si>
  <si>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</si>
  <si>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</si>
  <si>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</si>
  <si>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</si>
  <si>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</si>
  <si>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</si>
  <si>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</si>
  <si>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</si>
  <si>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</si>
  <si>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</si>
  <si>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</si>
  <si>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</si>
  <si>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</si>
  <si>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</si>
  <si>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</si>
  <si>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</si>
  <si>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</si>
  <si>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</si>
  <si>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</si>
  <si>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</si>
  <si>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</si>
  <si>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</si>
  <si>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</si>
  <si>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</si>
  <si>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</si>
  <si>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</si>
  <si>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</si>
  <si>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</si>
  <si>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</si>
  <si>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</si>
  <si>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</si>
  <si>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</si>
  <si>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</si>
  <si>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</si>
  <si>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</si>
  <si>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</si>
  <si>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</si>
  <si>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</si>
  <si>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</si>
  <si>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</si>
  <si>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</si>
  <si>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</si>
  <si>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</si>
  <si>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</si>
  <si>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</si>
  <si>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</si>
  <si>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</si>
  <si>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</si>
  <si>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</si>
  <si>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</si>
  <si>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</si>
  <si>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</si>
  <si>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</si>
  <si>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</si>
  <si>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</si>
  <si>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</si>
  <si>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</si>
  <si>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</si>
  <si>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</si>
  <si>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</si>
  <si>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</si>
  <si>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</si>
  <si>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</si>
  <si>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</si>
  <si>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</si>
  <si>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</si>
  <si>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</si>
  <si>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</si>
  <si>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</si>
  <si>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</si>
  <si>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</si>
  <si>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</si>
  <si>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</si>
  <si>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</si>
  <si>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</si>
  <si>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</si>
  <si>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</si>
  <si>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</si>
  <si>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</si>
  <si>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</si>
  <si>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</si>
  <si>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</si>
  <si>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</si>
  <si>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</si>
  <si>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</si>
  <si>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</si>
  <si>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</si>
  <si>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</si>
  <si>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</si>
  <si>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</si>
  <si>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</si>
  <si>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</si>
  <si>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</si>
  <si>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</si>
  <si>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</si>
  <si>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</si>
  <si>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</si>
  <si>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</si>
  <si>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</si>
  <si>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</si>
  <si>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</si>
  <si>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</si>
  <si>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</si>
  <si>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</si>
  <si>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</si>
  <si>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</si>
  <si>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</si>
  <si>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</si>
  <si>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</si>
  <si>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</si>
  <si>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</si>
  <si>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</si>
  <si>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</si>
  <si>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</si>
  <si>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</si>
  <si>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</si>
  <si>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</si>
  <si>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</si>
  <si>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</si>
  <si>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</si>
  <si>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</si>
  <si>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</si>
  <si>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</si>
  <si>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</si>
  <si>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</si>
  <si>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</si>
  <si>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</si>
  <si>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</si>
  <si>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</si>
  <si>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</si>
  <si>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</si>
  <si>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</si>
  <si>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</si>
  <si>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</si>
  <si>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</si>
  <si>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</si>
  <si>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</si>
  <si>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</si>
  <si>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</si>
  <si>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</si>
  <si>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</si>
  <si>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</si>
  <si>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</si>
  <si>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</si>
  <si>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</si>
  <si>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</si>
  <si>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</si>
  <si>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</si>
  <si>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</si>
  <si>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</si>
  <si>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</si>
  <si>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</si>
  <si>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</si>
  <si>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</si>
  <si>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</si>
  <si>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</si>
  <si>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</si>
  <si>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</si>
  <si>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</si>
  <si>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</si>
  <si>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</si>
  <si>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</si>
  <si>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</si>
  <si>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</si>
  <si>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</si>
  <si>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</si>
  <si>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</si>
  <si>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</si>
  <si>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</si>
  <si>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</si>
  <si>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</si>
  <si>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</si>
  <si>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</si>
  <si>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</si>
  <si>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</si>
  <si>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</si>
  <si>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</si>
  <si>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</si>
  <si>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</si>
  <si>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</si>
  <si>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</si>
  <si>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</si>
  <si>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</si>
  <si>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</si>
  <si>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</si>
  <si>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</si>
  <si>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</si>
  <si>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</si>
  <si>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</si>
  <si>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</si>
  <si>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</si>
  <si>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</si>
  <si>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</si>
  <si>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</si>
  <si>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</si>
  <si>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</si>
  <si>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</si>
  <si>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</si>
  <si>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</si>
  <si>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</si>
  <si>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</si>
  <si>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</si>
  <si>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</si>
  <si>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</si>
  <si>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</si>
  <si>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</si>
  <si>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</si>
  <si>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</si>
  <si>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</si>
  <si>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</si>
  <si>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</si>
  <si>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</si>
  <si>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</si>
  <si>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</si>
  <si>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</si>
  <si>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</si>
  <si>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</si>
  <si>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</si>
  <si>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</si>
  <si>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</si>
  <si>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</si>
  <si>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</si>
  <si>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</si>
  <si>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</si>
  <si>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</si>
  <si>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</si>
  <si>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</si>
  <si>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</si>
  <si>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</si>
  <si>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</si>
  <si>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</si>
  <si>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</si>
  <si>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</si>
  <si>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</si>
  <si>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</si>
  <si>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</si>
  <si>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</si>
  <si>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</si>
  <si>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</si>
  <si>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</si>
  <si>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</si>
  <si>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</si>
  <si>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</si>
  <si>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</si>
  <si>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</si>
  <si>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</si>
  <si>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</si>
  <si>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</si>
  <si>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</si>
  <si>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</si>
  <si>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</si>
  <si>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</si>
  <si>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</si>
  <si>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</si>
  <si>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</si>
  <si>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</si>
  <si>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</si>
  <si>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</si>
  <si>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</si>
  <si>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</si>
  <si>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</si>
  <si>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</si>
  <si>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</si>
  <si>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</si>
  <si>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</si>
  <si>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</si>
  <si>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</si>
  <si>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</si>
  <si>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</si>
  <si>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</si>
  <si>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</si>
  <si>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</si>
  <si>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</si>
  <si>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</si>
  <si>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</si>
  <si>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</si>
  <si>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</si>
  <si>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</si>
  <si>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</si>
  <si>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</si>
  <si>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</si>
  <si>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</si>
  <si>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</si>
  <si>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</si>
  <si>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</si>
  <si>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</si>
  <si>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</si>
  <si>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</si>
  <si>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</si>
  <si>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</si>
  <si>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</si>
  <si>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</si>
  <si>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</si>
  <si>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</si>
  <si>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</si>
  <si>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</si>
  <si>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</si>
  <si>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</si>
  <si>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</si>
  <si>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</si>
  <si>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</si>
  <si>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</si>
  <si>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</si>
  <si>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</si>
  <si>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</si>
  <si>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</si>
  <si>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</si>
  <si>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</si>
  <si>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</si>
  <si>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</si>
  <si>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</si>
  <si>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</si>
  <si>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</si>
  <si>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</si>
  <si>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</si>
  <si>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</si>
  <si>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</si>
  <si>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</si>
  <si>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</si>
  <si>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</si>
  <si>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</si>
  <si>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</si>
  <si>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</si>
  <si>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</si>
  <si>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</si>
  <si>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</si>
  <si>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</si>
  <si>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</si>
  <si>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</si>
  <si>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</si>
  <si>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</si>
  <si>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</si>
  <si>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</si>
  <si>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</si>
  <si>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</si>
  <si>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</si>
  <si>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</si>
  <si>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</si>
  <si>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</si>
  <si>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</si>
  <si>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</si>
  <si>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</si>
  <si>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</si>
  <si>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</si>
  <si>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</si>
  <si>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</si>
  <si>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</si>
  <si>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</si>
  <si>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</si>
  <si>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</si>
  <si>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</si>
  <si>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</si>
  <si>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</si>
  <si>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</si>
  <si>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</si>
  <si>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</si>
  <si>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</si>
  <si>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</si>
  <si>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</si>
  <si>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</si>
  <si>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</si>
  <si>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</si>
  <si>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</si>
  <si>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</si>
  <si>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</si>
  <si>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</si>
  <si>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</si>
  <si>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</si>
  <si>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</si>
  <si>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</si>
  <si>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</si>
  <si>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</si>
  <si>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</si>
  <si>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</si>
  <si>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</si>
  <si>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</si>
  <si>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</si>
  <si>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</si>
  <si>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</si>
  <si>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</si>
  <si>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</si>
  <si>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</si>
  <si>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</si>
  <si>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</si>
  <si>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</si>
  <si>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</si>
  <si>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</si>
  <si>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</si>
  <si>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</si>
  <si>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</si>
  <si>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</si>
  <si>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</si>
  <si>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</si>
  <si>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</si>
  <si>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</si>
  <si>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</si>
  <si>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</si>
  <si>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</si>
  <si>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</si>
  <si>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</si>
  <si>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</si>
  <si>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</si>
  <si>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</si>
  <si>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</si>
  <si>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</si>
  <si>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</si>
  <si>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</si>
  <si>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</si>
  <si>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</si>
  <si>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</si>
  <si>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</si>
  <si>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</si>
  <si>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</si>
  <si>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</si>
  <si>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</si>
  <si>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</si>
  <si>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</si>
  <si>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</si>
  <si>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</si>
  <si>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</si>
  <si>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</si>
  <si>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</si>
  <si>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</si>
  <si>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</si>
  <si>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</si>
  <si>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</si>
  <si>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</si>
  <si>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</si>
  <si>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</si>
  <si>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</si>
  <si>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</si>
  <si>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</si>
  <si>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</si>
  <si>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</si>
  <si>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</si>
  <si>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</si>
  <si>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</si>
  <si>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</si>
  <si>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</si>
  <si>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</si>
  <si>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</si>
  <si>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</si>
  <si>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</si>
  <si>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</si>
  <si>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</si>
  <si>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</si>
  <si>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</si>
  <si>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</si>
  <si>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</si>
  <si>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</si>
  <si>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</si>
  <si>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</si>
  <si>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</si>
  <si>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</si>
  <si>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</si>
  <si>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</si>
  <si>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</si>
  <si>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</si>
  <si>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</si>
  <si>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</si>
  <si>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</si>
  <si>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</si>
  <si>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</si>
  <si>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</si>
  <si>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</si>
  <si>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</si>
  <si>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</si>
  <si>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</si>
  <si>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</si>
  <si>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</si>
  <si>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</si>
  <si>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</si>
  <si>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</si>
  <si>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</si>
  <si>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</si>
  <si>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</si>
  <si>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</si>
  <si>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</si>
  <si>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</si>
  <si>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</si>
  <si>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</si>
  <si>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</si>
  <si>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</si>
  <si>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</si>
  <si>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</si>
  <si>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</si>
  <si>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</si>
  <si>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</si>
  <si>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</si>
  <si>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</si>
  <si>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</si>
  <si>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</si>
  <si>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</si>
  <si>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</si>
  <si>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</si>
  <si>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</si>
  <si>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</si>
  <si>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</si>
  <si>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</si>
  <si>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</si>
  <si>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</si>
  <si>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</si>
  <si>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</si>
  <si>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</si>
  <si>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</si>
  <si>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</si>
  <si>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</si>
  <si>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</si>
  <si>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</si>
  <si>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</si>
  <si>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</si>
  <si>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</si>
  <si>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</si>
  <si>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</si>
  <si>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</si>
  <si>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</si>
  <si>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</si>
  <si>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</si>
  <si>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</si>
  <si>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</si>
  <si>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</si>
  <si>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</si>
  <si>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</si>
  <si>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</si>
  <si>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</si>
  <si>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</si>
  <si>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</si>
  <si>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</si>
  <si>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</si>
  <si>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</si>
  <si>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</si>
  <si>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</si>
  <si>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</si>
  <si>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</si>
  <si>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</si>
  <si>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</si>
  <si>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</si>
  <si>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</si>
  <si>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</si>
  <si>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</si>
  <si>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</si>
  <si>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</si>
  <si>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</si>
  <si>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</si>
  <si>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</si>
  <si>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</si>
  <si>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</si>
  <si>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</si>
  <si>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</si>
  <si>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</si>
  <si>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</si>
  <si>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</si>
  <si>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</si>
  <si>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</si>
  <si>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</si>
  <si>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</si>
  <si>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</si>
  <si>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</si>
  <si>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</si>
  <si>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</si>
  <si>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</si>
  <si>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</si>
  <si>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</si>
  <si>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</si>
  <si>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</si>
  <si>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</si>
  <si>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</si>
  <si>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</si>
  <si>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</si>
  <si>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</si>
  <si>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</si>
  <si>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</si>
  <si>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</si>
  <si>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</si>
  <si>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</si>
  <si>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</si>
  <si>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</si>
  <si>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</si>
  <si>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</si>
  <si>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</si>
  <si>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</si>
  <si>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</si>
  <si>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</si>
  <si>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</si>
  <si>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</si>
  <si>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</si>
  <si>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</si>
  <si>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</si>
  <si>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</si>
  <si>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</si>
  <si>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</si>
  <si>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</si>
  <si>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</si>
  <si>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</si>
  <si>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</si>
  <si>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</si>
  <si>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</si>
  <si>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</si>
  <si>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</si>
  <si>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</si>
  <si>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</si>
  <si>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</si>
  <si>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</si>
  <si>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</si>
  <si>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</si>
  <si>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</si>
  <si>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</si>
  <si>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</si>
  <si>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</si>
  <si>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</si>
  <si>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</si>
  <si>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</si>
  <si>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</si>
  <si>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</si>
  <si>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</si>
  <si>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</si>
  <si>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</si>
  <si>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</si>
  <si>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</si>
  <si>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</si>
  <si>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</si>
  <si>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</si>
  <si>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</si>
  <si>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</si>
  <si>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</si>
  <si>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</si>
  <si>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</si>
  <si>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</si>
  <si>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</si>
  <si>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</si>
  <si>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</si>
  <si>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</si>
  <si>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</si>
  <si>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</si>
  <si>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</si>
  <si>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</si>
  <si>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</si>
  <si>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</si>
  <si>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</si>
  <si>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</si>
  <si>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</si>
  <si>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</si>
  <si>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</si>
  <si>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</si>
  <si>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</si>
  <si>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</si>
  <si>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</si>
  <si>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</si>
  <si>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</si>
  <si>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</si>
  <si>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</si>
  <si>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</si>
  <si>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</si>
  <si>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</si>
  <si>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</si>
  <si>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</si>
  <si>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</si>
  <si>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</si>
  <si>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</si>
  <si>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</si>
  <si>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</si>
  <si>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</si>
  <si>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</si>
  <si>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</si>
  <si>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</si>
  <si>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</si>
  <si>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</si>
  <si>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</si>
  <si>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</si>
  <si>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</si>
  <si>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</si>
  <si>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</si>
  <si>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</si>
  <si>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</si>
  <si>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</si>
  <si>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</si>
  <si>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</si>
  <si>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</si>
  <si>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</si>
  <si>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</si>
  <si>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</si>
  <si>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</si>
  <si>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</si>
  <si>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</si>
  <si>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</si>
  <si>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</si>
  <si>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</si>
  <si>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</si>
  <si>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</si>
  <si>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</si>
  <si>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</si>
  <si>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</si>
  <si>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</si>
  <si>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</si>
  <si>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</si>
  <si>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</si>
  <si>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</si>
  <si>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</si>
  <si>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</si>
  <si>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</si>
  <si>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</si>
  <si>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</si>
  <si>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</si>
  <si>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</si>
  <si>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</si>
  <si>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</si>
  <si>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</si>
  <si>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</si>
  <si>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</si>
  <si>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</si>
  <si>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</si>
  <si>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</si>
  <si>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</si>
  <si>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</si>
  <si>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</si>
  <si>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</si>
  <si>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</si>
  <si>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</si>
  <si>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</si>
  <si>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</si>
  <si>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</si>
  <si>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</si>
  <si>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</si>
  <si>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</si>
  <si>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</si>
  <si>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</si>
  <si>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</si>
  <si>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</si>
  <si>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</si>
  <si>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</si>
  <si>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</si>
  <si>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</si>
  <si>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</si>
  <si>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</si>
  <si>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</si>
  <si>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</si>
  <si>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</si>
  <si>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</si>
  <si>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</si>
  <si>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</si>
  <si>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</si>
  <si>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</si>
  <si>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</si>
  <si>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</si>
  <si>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</si>
  <si>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</si>
  <si>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</si>
  <si>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</si>
  <si>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</si>
  <si>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</si>
  <si>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</si>
  <si>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</si>
  <si>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</si>
  <si>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</si>
  <si>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</si>
  <si>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</si>
  <si>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Carp. Met. Fevegar</t>
  </si>
  <si>
    <t>Corredera 2H Mars</t>
  </si>
  <si>
    <t>No contemplados por comercial</t>
  </si>
  <si>
    <t>Comercial 35041SA</t>
  </si>
  <si>
    <t>35041GD - 80 Kgrs</t>
  </si>
  <si>
    <t>35054 - CAVE adhesivo</t>
  </si>
  <si>
    <t>Inferior, Arrastre izq.</t>
  </si>
  <si>
    <t>Ancho máximo: 1500 mm; Alto máximo: 2700 mm</t>
  </si>
  <si>
    <t>35012 + 35011 Empotrada desmontable simple 2 m , 2 uds.</t>
  </si>
  <si>
    <t>35038 - 120 KGrs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</si>
</sst>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 tint="-0.499984740745262"/>
      <name val="Calibri"/>
      <family val="2"/>
    </font>
    <font>
      <sz val="11"/>
      <color theme="5" tint="-0.499984740745262"/>
      <name val="Calibri"/>
      <family val="2"/>
    </font>
    <font>
      <sz val="11"/>
      <color theme="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635000</xdr:colOff>
      <xdr:row>11</xdr:row>
      <xdr:rowOff>127000</xdr:rowOff>
    </xdr:from>
    <xdr:to>
      <xdr:col>5</xdr:col>
      <xdr:colOff>260331</xdr:colOff>
      <xdr:row>23</xdr:row>
      <xdr:rowOff>1000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389905-5F15-93BA-3F84-DAE9ACEC0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0125" y="2365375"/>
          <a:ext cx="1895456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85" zoomScaleNormal="95" zoomScaleSheetLayoutView="85" workbookViewId="0">
      <selection activeCell="B18" sqref="B1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3" t="s">
        <v>1</v>
      </c>
      <c r="F3" s="83"/>
      <c r="G3" s="83"/>
      <c r="H3" s="84"/>
      <c r="I3" s="84"/>
      <c r="J3" s="84"/>
      <c r="K3" s="84"/>
      <c r="L3" s="84"/>
    </row>
    <row r="5" spans="1:12" ht="18.75" x14ac:dyDescent="0.25">
      <c r="B5" s="85" t="s">
        <v>2</v>
      </c>
      <c r="C5" s="85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20250049</v>
      </c>
      <c r="G7" s="8">
        <f ca="1">TODAY()</f>
        <v>45715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80" t="s">
        <v>1020</v>
      </c>
      <c r="C13" s="86" t="str">
        <f>IFERROR(VLOOKUP($B13,Tarifa_all_20240711!$A$2:$G$660,2,FALSE()),"-")</f>
        <v>CARC.SIMPLE GUIA DESM.LAC.7 ESP.3-2 MTS</v>
      </c>
      <c r="D13" s="86"/>
      <c r="E13" s="81">
        <v>2</v>
      </c>
      <c r="F13" s="82">
        <f>IFERROR(VLOOKUP($B13,Tarifa_all_20240711!$A$2:$G$660,5,FALSE()),"-")</f>
        <v>66.960000000000008</v>
      </c>
      <c r="G13" s="82">
        <f t="shared" ref="G13:G30" si="0">IFERROR(E13*F13,"-")</f>
        <v>133.92000000000002</v>
      </c>
      <c r="H13" s="1"/>
    </row>
    <row r="14" spans="1:12" x14ac:dyDescent="0.25">
      <c r="A14" t="s">
        <v>15</v>
      </c>
      <c r="B14" s="80" t="s">
        <v>980</v>
      </c>
      <c r="C14" s="86" t="str">
        <f>IFERROR(VLOOKUP($B14,Tarifa_all_20240711!$A$2:$G$660,2,FALSE()),"-")</f>
        <v>GUIA SKY PLUS DESMONT.LAC.7 ESP.3-2 MTS</v>
      </c>
      <c r="D14" s="86"/>
      <c r="E14" s="81">
        <v>2</v>
      </c>
      <c r="F14" s="82">
        <f>IFERROR(VLOOKUP($B14,Tarifa_all_20240711!$A$2:$G$660,5,FALSE()),"-")</f>
        <v>50.085000000000001</v>
      </c>
      <c r="G14" s="82">
        <f t="shared" si="0"/>
        <v>100.17</v>
      </c>
      <c r="H14" s="1"/>
    </row>
    <row r="15" spans="1:12" x14ac:dyDescent="0.25">
      <c r="A15" t="s">
        <v>16</v>
      </c>
      <c r="B15" s="80" t="s">
        <v>293</v>
      </c>
      <c r="C15" s="86" t="str">
        <f>IFERROR(VLOOKUP($B15,Tarifa_all_20240711!$A$2:$G$660,2,FALSE()),"-")</f>
        <v>KIT ANCLAJE TECHO PARA GUIA PLADUR PLUS DEMONTABLE</v>
      </c>
      <c r="D15" s="86"/>
      <c r="E15" s="81">
        <v>10</v>
      </c>
      <c r="F15" s="82">
        <f>IFERROR(VLOOKUP($B15,Tarifa_all_20240711!$A$2:$G$660,5,FALSE()),"-")</f>
        <v>11.737500000000001</v>
      </c>
      <c r="G15" s="82">
        <f t="shared" si="0"/>
        <v>117.375</v>
      </c>
      <c r="H15" s="79" t="s">
        <v>1449</v>
      </c>
    </row>
    <row r="16" spans="1:12" x14ac:dyDescent="0.25">
      <c r="A16" t="s">
        <v>17</v>
      </c>
      <c r="B16" s="80" t="s">
        <v>564</v>
      </c>
      <c r="C16" s="86" t="str">
        <f>IFERROR(VLOOKUP($B16,Tarifa_all_20240711!$A$2:$G$660,2,FALSE()),"-")</f>
        <v>KIT AMORTIGUADOR SKY GUIA DESMONT. BIDIRECCIONAL 80KG</v>
      </c>
      <c r="D16" s="86"/>
      <c r="E16" s="81">
        <v>2</v>
      </c>
      <c r="F16" s="82">
        <f>IFERROR(VLOOKUP($B16,Tarifa_all_20240711!$A$2:$G$660,5,FALSE()),"-")</f>
        <v>31.8675</v>
      </c>
      <c r="G16" s="82">
        <f t="shared" si="0"/>
        <v>63.734999999999999</v>
      </c>
      <c r="H16" s="79" t="s">
        <v>1450</v>
      </c>
    </row>
    <row r="17" spans="1:8" x14ac:dyDescent="0.25">
      <c r="A17" t="s">
        <v>18</v>
      </c>
      <c r="B17" s="80" t="s">
        <v>792</v>
      </c>
      <c r="C17" s="86" t="str">
        <f>IFERROR(VLOOKUP($B17,Tarifa_all_20240711!$A$2:$G$660,2,FALSE()),"-")</f>
        <v>KIT PUERTA PA CORREDERA LAC.MARS (OXIDO)</v>
      </c>
      <c r="D17" s="86"/>
      <c r="E17" s="81">
        <v>2</v>
      </c>
      <c r="F17" s="82">
        <f>IFERROR(VLOOKUP($B17,Tarifa_all_20240711!$A$2:$G$660,5,FALSE()),"-")</f>
        <v>215.65500000000003</v>
      </c>
      <c r="G17" s="82">
        <f t="shared" si="0"/>
        <v>431.31000000000006</v>
      </c>
      <c r="H17" s="1"/>
    </row>
    <row r="18" spans="1:8" x14ac:dyDescent="0.25">
      <c r="A18" t="s">
        <v>19</v>
      </c>
      <c r="B18" s="80" t="s">
        <v>333</v>
      </c>
      <c r="C18" s="86" t="str">
        <f>IFERROR(VLOOKUP($B18,Tarifa_all_20240711!$A$2:$G$660,2,FALSE()),"-")</f>
        <v>CARRO SKY MADERA 120KG</v>
      </c>
      <c r="D18" s="86"/>
      <c r="E18" s="81">
        <v>2</v>
      </c>
      <c r="F18" s="82">
        <f>IFERROR(VLOOKUP($B18,Tarifa_all_20240711!$A$2:$G$660,5,FALSE()),"-")</f>
        <v>29.954999999999998</v>
      </c>
      <c r="G18" s="82">
        <f t="shared" si="0"/>
        <v>59.91</v>
      </c>
      <c r="H18" s="1"/>
    </row>
    <row r="19" spans="1:8" x14ac:dyDescent="0.25">
      <c r="A19" t="s">
        <v>20</v>
      </c>
      <c r="B19" s="80" t="s">
        <v>1174</v>
      </c>
      <c r="C19" s="86" t="str">
        <f>IFERROR(VLOOKUP($B19,Tarifa_all_20240711!$A$2:$G$660,2,FALSE()),"-")</f>
        <v>TIRADOR RECT.ADH CAVE LAC.MARS (OXIDO): 2 UDS</v>
      </c>
      <c r="D19" s="86"/>
      <c r="E19" s="81">
        <v>1</v>
      </c>
      <c r="F19" s="82">
        <f>IFERROR(VLOOKUP($B19,Tarifa_all_20240711!$A$2:$G$660,5,FALSE()),"-")</f>
        <v>59.122500000000002</v>
      </c>
      <c r="G19" s="82">
        <f t="shared" si="0"/>
        <v>59.122500000000002</v>
      </c>
      <c r="H19" s="1"/>
    </row>
    <row r="20" spans="1:8" x14ac:dyDescent="0.25">
      <c r="A20" t="s">
        <v>21</v>
      </c>
      <c r="B20" s="80" t="s">
        <v>1130</v>
      </c>
      <c r="C20" s="86" t="str">
        <f>IFERROR(VLOOKUP($B20,Tarifa_all_20240711!$A$2:$G$660,2,FALSE()),"-")</f>
        <v>GUIADOR FIJO PA LAC.MARS (OXIDO)</v>
      </c>
      <c r="D20" s="86"/>
      <c r="E20" s="81">
        <v>1</v>
      </c>
      <c r="F20" s="82">
        <f>IFERROR(VLOOKUP($B20,Tarifa_all_20240711!$A$2:$G$660,5,FALSE()),"-")</f>
        <v>8.61</v>
      </c>
      <c r="G20" s="82">
        <f t="shared" si="0"/>
        <v>8.61</v>
      </c>
      <c r="H20" s="1"/>
    </row>
    <row r="21" spans="1:8" x14ac:dyDescent="0.25">
      <c r="A21" t="s">
        <v>22</v>
      </c>
      <c r="B21" s="76" t="s">
        <v>818</v>
      </c>
      <c r="C21" s="87" t="str">
        <f>IFERROR(VLOOKUP($B21,Tarifa_all_20240711!$A$2:$G$660,2,FALSE()),"-")</f>
        <v>PERFIL EMBELL.HORIZ. ADH LAC.MARS (OXIDO)</v>
      </c>
      <c r="D21" s="87"/>
      <c r="E21" s="77">
        <v>9</v>
      </c>
      <c r="F21" s="78">
        <f>IFERROR(VLOOKUP($B21,Tarifa_all_20240711!$A$2:$G$660,5,FALSE()),"-")</f>
        <v>21.794999999999998</v>
      </c>
      <c r="G21" s="78">
        <f t="shared" si="0"/>
        <v>196.15499999999997</v>
      </c>
      <c r="H21" s="1"/>
    </row>
    <row r="22" spans="1:8" x14ac:dyDescent="0.25">
      <c r="B22" s="80" t="s">
        <v>1141</v>
      </c>
      <c r="C22" s="86" t="str">
        <f>IFERROR(VLOOKUP($B22,Tarifa_all_20240711!$A$2:$G$660,2,FALSE()),"-")</f>
        <v>ARRASTRE PUERTA PA IZQ LAC.MARS (OXIDO)</v>
      </c>
      <c r="D22" s="86"/>
      <c r="E22" s="81">
        <v>1</v>
      </c>
      <c r="F22" s="82">
        <f>IFERROR(VLOOKUP($B22,Tarifa_all_20240711!$A$2:$G$660,5,FALSE()),"-")</f>
        <v>13.86</v>
      </c>
      <c r="G22" s="82">
        <f t="shared" si="0"/>
        <v>13.86</v>
      </c>
      <c r="H22" s="1"/>
    </row>
    <row r="23" spans="1:8" x14ac:dyDescent="0.25">
      <c r="B23" s="80" t="s">
        <v>1358</v>
      </c>
      <c r="C23" s="86" t="str">
        <f>IFERROR(VLOOKUP($B23,Tarifa_all_20240711!$A$2:$G$660,2,FALSE()),"-")</f>
        <v>PERFIL MINIMALISTA D-DECOR FIJO MARS (OXIDO) 6,5 MTS</v>
      </c>
      <c r="D23" s="86"/>
      <c r="E23" s="81">
        <v>1</v>
      </c>
      <c r="F23" s="82">
        <f>IFERROR(VLOOKUP($B23,Tarifa_all_20240711!$A$2:$G$660,5,FALSE()),"-")</f>
        <v>81.539999999999992</v>
      </c>
      <c r="G23" s="82">
        <f t="shared" si="0"/>
        <v>81.539999999999992</v>
      </c>
      <c r="H23" s="1"/>
    </row>
    <row r="24" spans="1:8" x14ac:dyDescent="0.25">
      <c r="B24" s="16"/>
      <c r="C24" s="88" t="str">
        <f>IFERROR(VLOOKUP($B24,Tarifa_all_20240711!$A$2:$G$660,2,FALSE()),"-")</f>
        <v>-</v>
      </c>
      <c r="D24" s="8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8" t="str">
        <f>IFERROR(VLOOKUP($B25,Tarifa_all_20240711!$A$2:$G$660,2,FALSE()),"-")</f>
        <v>-</v>
      </c>
      <c r="D25" s="8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8" t="str">
        <f>IFERROR(VLOOKUP($B26,Tarifa_all_20240711!$A$2:$G$660,2,FALSE()),"-")</f>
        <v>-</v>
      </c>
      <c r="D26" s="8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8" t="str">
        <f>IFERROR(VLOOKUP($B27,Tarifa_all_20240711!$A$2:$G$660,2,FALSE()),"-")</f>
        <v>-</v>
      </c>
      <c r="D27" s="8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8" t="str">
        <f>IFERROR(VLOOKUP($B28,Tarifa_all_20240711!$A$2:$G$660,2,FALSE()),"-")</f>
        <v>-</v>
      </c>
      <c r="D28" s="8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8" t="str">
        <f>IFERROR(VLOOKUP($B29,Tarifa_all_20240711!$A$2:$G$660,2,FALSE()),"-")</f>
        <v>-</v>
      </c>
      <c r="D29" s="8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8" t="str">
        <f>IFERROR(VLOOKUP($B30,Tarifa_all_20240711!$A$2:$G$660,2,FALSE()),"-")</f>
        <v>-</v>
      </c>
      <c r="D30" s="8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1265.7074999999998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77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9"/>
      <c r="E52" s="89"/>
      <c r="F52" s="8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60" zoomScaleNormal="85" workbookViewId="0">
      <selection activeCell="D16" sqref="D16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3" t="s">
        <v>78</v>
      </c>
      <c r="F2" s="83"/>
      <c r="G2" s="83"/>
    </row>
    <row r="3" spans="1:7" ht="18" customHeight="1" x14ac:dyDescent="0.35">
      <c r="E3" s="83" t="s">
        <v>1</v>
      </c>
      <c r="F3" s="83"/>
      <c r="G3" s="83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4" t="s">
        <v>79</v>
      </c>
      <c r="B6" s="94"/>
      <c r="C6" s="94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5" t="str">
        <f>'DESPIECE (MATANALYSIS)'!C8</f>
        <v>Carp. Met. Fevegar</v>
      </c>
      <c r="C9" s="95"/>
      <c r="D9" s="95"/>
      <c r="F9" s="3" t="s">
        <v>81</v>
      </c>
      <c r="G9" s="44">
        <f ca="1">TODAY()</f>
        <v>45715</v>
      </c>
    </row>
    <row r="10" spans="1:7" x14ac:dyDescent="0.25">
      <c r="A10" s="3" t="s">
        <v>82</v>
      </c>
      <c r="B10" s="11" t="str">
        <f>'DESPIECE (MATANALYSIS)'!C9</f>
        <v>Corredera 2H Mars</v>
      </c>
      <c r="C10" s="45"/>
      <c r="D10" s="45"/>
      <c r="E10" s="46"/>
      <c r="F10" s="47" t="s">
        <v>83</v>
      </c>
      <c r="G10" s="7">
        <f>'DESPIECE (MATANALYSIS)'!C7</f>
        <v>20250049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1454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MARS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1455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1456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90"/>
      <c r="B46" s="90"/>
      <c r="C46" s="71"/>
      <c r="D46" s="71"/>
      <c r="E46" s="71"/>
      <c r="F46" s="72"/>
      <c r="G46" s="73"/>
    </row>
    <row r="47" spans="1:7" ht="22.7" customHeight="1" x14ac:dyDescent="0.25">
      <c r="A47" s="91" t="s">
        <v>95</v>
      </c>
      <c r="B47" s="91"/>
      <c r="C47" s="59"/>
      <c r="D47" s="59"/>
      <c r="E47" s="59"/>
      <c r="F47" s="92">
        <f>'DESPIECE (MATANALYSIS)'!G31</f>
        <v>1265.7074999999998</v>
      </c>
      <c r="G47" s="92"/>
    </row>
    <row r="48" spans="1:7" s="1" customFormat="1" ht="22.7" customHeight="1" x14ac:dyDescent="0.25">
      <c r="A48" s="93" t="s">
        <v>96</v>
      </c>
      <c r="B48" s="93"/>
      <c r="C48" s="93"/>
      <c r="D48" s="93"/>
      <c r="E48" s="93"/>
      <c r="F48" s="93"/>
      <c r="G48" s="93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2025-02-27T17:11:21Z</dcterms:modified>
  <dc:language>es-ES</dc:language>
</cp:coreProperties>
</file>